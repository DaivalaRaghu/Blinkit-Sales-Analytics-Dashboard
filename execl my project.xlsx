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D:\LPU\my projects\excel project\"/>
    </mc:Choice>
  </mc:AlternateContent>
  <xr:revisionPtr revIDLastSave="0" documentId="13_ncr:1_{594A4BE4-C2F3-41B0-AA86-1A82F7998DB7}"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heet2" sheetId="2" r:id="rId2"/>
    <sheet name="Sheet3" sheetId="3" r:id="rId3"/>
  </sheets>
  <definedNames>
    <definedName name="NativeTimeline_Order_Date">#N/A</definedName>
    <definedName name="Slicer_Product">#N/A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 i="2" l="1"/>
  <c r="C67"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<sst xmlns="http://schemas.openxmlformats.org/spreadsheetml/2006/main" count="4380" uniqueCount="98">
  <si>
    <t>Order ID</t>
  </si>
  <si>
    <t>Order Date</t>
  </si>
  <si>
    <t>Year</t>
  </si>
  <si>
    <t>State</t>
  </si>
  <si>
    <t>City</t>
  </si>
  <si>
    <t>Product</t>
  </si>
  <si>
    <t>Category</t>
  </si>
  <si>
    <t>Units Sold</t>
  </si>
  <si>
    <t>Unit Price</t>
  </si>
  <si>
    <t>Total Sales</t>
  </si>
  <si>
    <t>Cost Price</t>
  </si>
  <si>
    <t>Profit</t>
  </si>
  <si>
    <t>Customer Type</t>
  </si>
  <si>
    <t>Payment Method</t>
  </si>
  <si>
    <t>Tamil Nadu</t>
  </si>
  <si>
    <t>Telangana</t>
  </si>
  <si>
    <t>Uttar Pradesh</t>
  </si>
  <si>
    <t>Gujarat</t>
  </si>
  <si>
    <t>Delhi</t>
  </si>
  <si>
    <t>Maharashtra</t>
  </si>
  <si>
    <t>Karnataka</t>
  </si>
  <si>
    <t>Punjab</t>
  </si>
  <si>
    <t>West Bengal</t>
  </si>
  <si>
    <t>Rajasthan</t>
  </si>
  <si>
    <t>Coimbatore</t>
  </si>
  <si>
    <t>Warangal</t>
  </si>
  <si>
    <t>Lucknow</t>
  </si>
  <si>
    <t>Surat</t>
  </si>
  <si>
    <t>Hyderabad</t>
  </si>
  <si>
    <t>New Delhi</t>
  </si>
  <si>
    <t>Chennai</t>
  </si>
  <si>
    <t>Nagpur</t>
  </si>
  <si>
    <t>Bangalore</t>
  </si>
  <si>
    <t>Ludhiana</t>
  </si>
  <si>
    <t>Ahmedabad</t>
  </si>
  <si>
    <t>Noida</t>
  </si>
  <si>
    <t>Kolkata</t>
  </si>
  <si>
    <t>Jaipur</t>
  </si>
  <si>
    <t>Howrah</t>
  </si>
  <si>
    <t>Mumbai</t>
  </si>
  <si>
    <t>Mysore</t>
  </si>
  <si>
    <t>Amritsar</t>
  </si>
  <si>
    <t>Pune</t>
  </si>
  <si>
    <t>Udaipur</t>
  </si>
  <si>
    <t>Tomato</t>
  </si>
  <si>
    <t>Milk</t>
  </si>
  <si>
    <t>Wheat Flour</t>
  </si>
  <si>
    <t>Biscuits</t>
  </si>
  <si>
    <t>Potato</t>
  </si>
  <si>
    <t>Banana</t>
  </si>
  <si>
    <t>Tea</t>
  </si>
  <si>
    <t>Curd</t>
  </si>
  <si>
    <t>Chocolate</t>
  </si>
  <si>
    <t>Cheese</t>
  </si>
  <si>
    <t>Orange</t>
  </si>
  <si>
    <t>Namkeen</t>
  </si>
  <si>
    <t>Salt</t>
  </si>
  <si>
    <t>Coffee</t>
  </si>
  <si>
    <t>Onion</t>
  </si>
  <si>
    <t>Butter</t>
  </si>
  <si>
    <t>Soda</t>
  </si>
  <si>
    <t>Spinach</t>
  </si>
  <si>
    <t>Apple</t>
  </si>
  <si>
    <t>Sugar</t>
  </si>
  <si>
    <t>Rice</t>
  </si>
  <si>
    <t>Juice</t>
  </si>
  <si>
    <t>Grapes</t>
  </si>
  <si>
    <t>Chips</t>
  </si>
  <si>
    <t>Vegetables</t>
  </si>
  <si>
    <t>Dairy</t>
  </si>
  <si>
    <t>Groceries</t>
  </si>
  <si>
    <t>Snacks</t>
  </si>
  <si>
    <t>Fruits</t>
  </si>
  <si>
    <t>Beverages</t>
  </si>
  <si>
    <t>Returning</t>
  </si>
  <si>
    <t>New</t>
  </si>
  <si>
    <t>Regular</t>
  </si>
  <si>
    <t>UPI</t>
  </si>
  <si>
    <t>Cash on Delivery</t>
  </si>
  <si>
    <t>Debit Card</t>
  </si>
  <si>
    <t>Credit Card</t>
  </si>
  <si>
    <t>Row Labels</t>
  </si>
  <si>
    <t>Grand Total</t>
  </si>
  <si>
    <t>Sum of Total Sales</t>
  </si>
  <si>
    <t>Sum of Profit</t>
  </si>
  <si>
    <t>Count of Total Sales</t>
  </si>
  <si>
    <t>May</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</si>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</sst>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3" x14ac:knownFonts="1">
    <font>
      <sz val="11"/>
      <color theme="1"/>
      <name val="Calibri"/>
      <family val="2"/>
      <scheme val="minor"/>
    </font>
    <font>
      <b/>
      <sz val="11"/>
      <color theme="1"/>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4" fontId="0" fillId="0" borderId="0" xfId="0" applyNumberFormat="1"/>
    <xf numFmtId="0" fontId="2" fillId="0" borderId="0" xfId="0" applyFont="1"/>
  </cellXfs>
  <cellStyles count="1">
    <cellStyle name="Normal" xfId="0" builtinId="0"/>
  </cellStyles>
  <dxfs count="4">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9" defaultPivotStyle="PivotStyleLight16">
    <tableStyle name="Invisible" pivot="0" table="0" count="0" xr9:uid="{7A20C51B-11E4-4EF5-9568-C8F0225402D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11/relationships/timelineCache" Target="timelineCaches/timelineCache1.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my project.xlsx]Sheet2!PivotTable4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c:f>
              <c:strCache>
                <c:ptCount val="1"/>
                <c:pt idx="0">
                  <c:v>Total</c:v>
                </c:pt>
              </c:strCache>
            </c:strRef>
          </c:tx>
          <c:spPr>
            <a:solidFill>
              <a:schemeClr val="accent1"/>
            </a:solidFill>
            <a:ln>
              <a:noFill/>
            </a:ln>
            <a:effectLst/>
          </c:spPr>
          <c:invertIfNegative val="0"/>
          <c:cat>
            <c:strRef>
              <c:f>Sheet2!$A$3:$A$13</c:f>
              <c:strCache>
                <c:ptCount val="10"/>
                <c:pt idx="0">
                  <c:v>Delhi</c:v>
                </c:pt>
                <c:pt idx="1">
                  <c:v>Gujarat</c:v>
                </c:pt>
                <c:pt idx="2">
                  <c:v>Karnataka</c:v>
                </c:pt>
                <c:pt idx="3">
                  <c:v>Maharashtra</c:v>
                </c:pt>
                <c:pt idx="4">
                  <c:v>Punjab</c:v>
                </c:pt>
                <c:pt idx="5">
                  <c:v>Rajasthan</c:v>
                </c:pt>
                <c:pt idx="6">
                  <c:v>Tamil Nadu</c:v>
                </c:pt>
                <c:pt idx="7">
                  <c:v>Telangana</c:v>
                </c:pt>
                <c:pt idx="8">
                  <c:v>Uttar Pradesh</c:v>
                </c:pt>
                <c:pt idx="9">
                  <c:v>West Bengal</c:v>
                </c:pt>
              </c:strCache>
            </c:strRef>
          </c:cat>
          <c:val>
            <c:numRef>
              <c:f>Sheet2!$B$3:$B$13</c:f>
              <c:numCache>
                <c:formatCode>General</c:formatCode>
                <c:ptCount val="10"/>
                <c:pt idx="0">
                  <c:v>23824.579999999998</c:v>
                </c:pt>
                <c:pt idx="1">
                  <c:v>20173.580000000002</c:v>
                </c:pt>
                <c:pt idx="2">
                  <c:v>21461.649999999998</c:v>
                </c:pt>
                <c:pt idx="3">
                  <c:v>19797.420000000002</c:v>
                </c:pt>
                <c:pt idx="4">
                  <c:v>23427.16</c:v>
                </c:pt>
                <c:pt idx="5">
                  <c:v>7653.380000000001</c:v>
                </c:pt>
                <c:pt idx="6">
                  <c:v>11702.539999999999</c:v>
                </c:pt>
                <c:pt idx="7">
                  <c:v>12715.98</c:v>
                </c:pt>
                <c:pt idx="8">
                  <c:v>5363.13</c:v>
                </c:pt>
                <c:pt idx="9">
                  <c:v>23034.100000000002</c:v>
                </c:pt>
              </c:numCache>
            </c:numRef>
          </c:val>
          <c:extLst>
            <c:ext xmlns:c16="http://schemas.microsoft.com/office/drawing/2014/chart" uri="{C3380CC4-5D6E-409C-BE32-E72D297353CC}">
              <c16:uniqueId val="{00000000-7D4C-4064-961C-90CF6F82A04C}"/>
            </c:ext>
          </c:extLst>
        </c:ser>
        <c:dLbls>
          <c:showLegendKey val="0"/>
          <c:showVal val="0"/>
          <c:showCatName val="0"/>
          <c:showSerName val="0"/>
          <c:showPercent val="0"/>
          <c:showBubbleSize val="0"/>
        </c:dLbls>
        <c:gapWidth val="150"/>
        <c:axId val="1855256287"/>
        <c:axId val="1855263967"/>
      </c:barChart>
      <c:catAx>
        <c:axId val="185525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63967"/>
        <c:crosses val="autoZero"/>
        <c:auto val="1"/>
        <c:lblAlgn val="ctr"/>
        <c:lblOffset val="100"/>
        <c:noMultiLvlLbl val="0"/>
      </c:catAx>
      <c:valAx>
        <c:axId val="1855263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my project.xlsx]Sheet2!PivotTable2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Sheet2!$B$30</c:f>
              <c:strCache>
                <c:ptCount val="1"/>
                <c:pt idx="0">
                  <c:v>Total</c:v>
                </c:pt>
              </c:strCache>
            </c:strRef>
          </c:tx>
          <c:spPr>
            <a:ln w="28575" cap="rnd">
              <a:solidFill>
                <a:schemeClr val="accent1"/>
              </a:solidFill>
              <a:round/>
            </a:ln>
            <a:effectLst/>
          </c:spPr>
          <c:marker>
            <c:symbol val="none"/>
          </c:marker>
          <c:cat>
            <c:strRef>
              <c:f>Sheet2!$A$31:$A$43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Sheet2!$B$31:$B$43</c:f>
              <c:numCache>
                <c:formatCode>General</c:formatCode>
                <c:ptCount val="12"/>
                <c:pt idx="0">
                  <c:v>10891.38</c:v>
                </c:pt>
                <c:pt idx="1">
                  <c:v>15255.239999999998</c:v>
                </c:pt>
                <c:pt idx="2">
                  <c:v>6380.78</c:v>
                </c:pt>
                <c:pt idx="3">
                  <c:v>12714.399999999998</c:v>
                </c:pt>
                <c:pt idx="4">
                  <c:v>16847.34</c:v>
                </c:pt>
                <c:pt idx="5">
                  <c:v>22853.140000000003</c:v>
                </c:pt>
                <c:pt idx="6">
                  <c:v>6046.41</c:v>
                </c:pt>
                <c:pt idx="7">
                  <c:v>23221.070000000007</c:v>
                </c:pt>
                <c:pt idx="8">
                  <c:v>13539.790000000003</c:v>
                </c:pt>
                <c:pt idx="9">
                  <c:v>17947.32</c:v>
                </c:pt>
                <c:pt idx="10">
                  <c:v>14334.56</c:v>
                </c:pt>
                <c:pt idx="11">
                  <c:v>9122.09</c:v>
                </c:pt>
              </c:numCache>
            </c:numRef>
          </c:val>
          <c:smooth val="0"/>
          <c:extLst>
            <c:ext xmlns:c16="http://schemas.microsoft.com/office/drawing/2014/chart" uri="{C3380CC4-5D6E-409C-BE32-E72D297353CC}">
              <c16:uniqueId val="{00000000-FFC1-41F5-91CC-C55ADA9B5C14}"/>
            </c:ext>
          </c:extLst>
        </c:ser>
        <c:dLbls>
          <c:showLegendKey val="0"/>
          <c:showVal val="0"/>
          <c:showCatName val="0"/>
          <c:showSerName val="0"/>
          <c:showPercent val="0"/>
          <c:showBubbleSize val="0"/>
        </c:dLbls>
        <c:smooth val="0"/>
        <c:axId val="1026297327"/>
        <c:axId val="1862523711"/>
      </c:lineChart>
      <c:catAx>
        <c:axId val="102629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523711"/>
        <c:crosses val="autoZero"/>
        <c:auto val="1"/>
        <c:lblAlgn val="ctr"/>
        <c:lblOffset val="100"/>
        <c:noMultiLvlLbl val="0"/>
      </c:catAx>
      <c:valAx>
        <c:axId val="186252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9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my project.xlsx]Sheet2!PivotTable5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1620612641355"/>
          <c:y val="0.19103991954687097"/>
          <c:w val="0.70628763320211241"/>
          <c:h val="0.58490246750326957"/>
        </c:manualLayout>
      </c:layout>
      <c:barChart>
        <c:barDir val="col"/>
        <c:grouping val="clustered"/>
        <c:varyColors val="0"/>
        <c:ser>
          <c:idx val="0"/>
          <c:order val="0"/>
          <c:tx>
            <c:strRef>
              <c:f>Sheet2!$B$46</c:f>
              <c:strCache>
                <c:ptCount val="1"/>
                <c:pt idx="0">
                  <c:v>Sum of Total Sales</c:v>
                </c:pt>
              </c:strCache>
            </c:strRef>
          </c:tx>
          <c:spPr>
            <a:solidFill>
              <a:schemeClr val="accent1"/>
            </a:solidFill>
            <a:ln>
              <a:noFill/>
            </a:ln>
            <a:effectLst/>
          </c:spPr>
          <c:invertIfNegative val="0"/>
          <c:cat>
            <c:strRef>
              <c:f>Sheet2!$A$47:$A$52</c:f>
              <c:strCache>
                <c:ptCount val="5"/>
                <c:pt idx="0">
                  <c:v>Chips</c:v>
                </c:pt>
                <c:pt idx="1">
                  <c:v>Chocolate</c:v>
                </c:pt>
                <c:pt idx="2">
                  <c:v>Grapes</c:v>
                </c:pt>
                <c:pt idx="3">
                  <c:v>Spinach</c:v>
                </c:pt>
                <c:pt idx="4">
                  <c:v>Sugar</c:v>
                </c:pt>
              </c:strCache>
            </c:strRef>
          </c:cat>
          <c:val>
            <c:numRef>
              <c:f>Sheet2!$B$47:$B$52</c:f>
              <c:numCache>
                <c:formatCode>General</c:formatCode>
                <c:ptCount val="5"/>
                <c:pt idx="0">
                  <c:v>22700.959999999999</c:v>
                </c:pt>
                <c:pt idx="1">
                  <c:v>43941.5</c:v>
                </c:pt>
                <c:pt idx="2">
                  <c:v>29695.130000000008</c:v>
                </c:pt>
                <c:pt idx="3">
                  <c:v>38320.15</c:v>
                </c:pt>
                <c:pt idx="4">
                  <c:v>34495.780000000006</c:v>
                </c:pt>
              </c:numCache>
            </c:numRef>
          </c:val>
          <c:extLst>
            <c:ext xmlns:c16="http://schemas.microsoft.com/office/drawing/2014/chart" uri="{C3380CC4-5D6E-409C-BE32-E72D297353CC}">
              <c16:uniqueId val="{00000000-80C7-470C-9F0C-15D49F28DCC1}"/>
            </c:ext>
          </c:extLst>
        </c:ser>
        <c:ser>
          <c:idx val="1"/>
          <c:order val="1"/>
          <c:tx>
            <c:strRef>
              <c:f>Sheet2!$C$46</c:f>
              <c:strCache>
                <c:ptCount val="1"/>
                <c:pt idx="0">
                  <c:v>Sum of Profit</c:v>
                </c:pt>
              </c:strCache>
            </c:strRef>
          </c:tx>
          <c:spPr>
            <a:solidFill>
              <a:schemeClr val="accent2"/>
            </a:solidFill>
            <a:ln>
              <a:noFill/>
            </a:ln>
            <a:effectLst/>
          </c:spPr>
          <c:invertIfNegative val="0"/>
          <c:cat>
            <c:strRef>
              <c:f>Sheet2!$A$47:$A$52</c:f>
              <c:strCache>
                <c:ptCount val="5"/>
                <c:pt idx="0">
                  <c:v>Chips</c:v>
                </c:pt>
                <c:pt idx="1">
                  <c:v>Chocolate</c:v>
                </c:pt>
                <c:pt idx="2">
                  <c:v>Grapes</c:v>
                </c:pt>
                <c:pt idx="3">
                  <c:v>Spinach</c:v>
                </c:pt>
                <c:pt idx="4">
                  <c:v>Sugar</c:v>
                </c:pt>
              </c:strCache>
            </c:strRef>
          </c:cat>
          <c:val>
            <c:numRef>
              <c:f>Sheet2!$C$47:$C$52</c:f>
              <c:numCache>
                <c:formatCode>General</c:formatCode>
                <c:ptCount val="5"/>
                <c:pt idx="0">
                  <c:v>5852.0500000000011</c:v>
                </c:pt>
                <c:pt idx="1">
                  <c:v>10620.970000000001</c:v>
                </c:pt>
                <c:pt idx="2">
                  <c:v>6682.75</c:v>
                </c:pt>
                <c:pt idx="3">
                  <c:v>9319.1</c:v>
                </c:pt>
                <c:pt idx="4">
                  <c:v>8020.760000000002</c:v>
                </c:pt>
              </c:numCache>
            </c:numRef>
          </c:val>
          <c:extLst>
            <c:ext xmlns:c16="http://schemas.microsoft.com/office/drawing/2014/chart" uri="{C3380CC4-5D6E-409C-BE32-E72D297353CC}">
              <c16:uniqueId val="{00000001-80C7-470C-9F0C-15D49F28DCC1}"/>
            </c:ext>
          </c:extLst>
        </c:ser>
        <c:dLbls>
          <c:showLegendKey val="0"/>
          <c:showVal val="0"/>
          <c:showCatName val="0"/>
          <c:showSerName val="0"/>
          <c:showPercent val="0"/>
          <c:showBubbleSize val="0"/>
        </c:dLbls>
        <c:gapWidth val="219"/>
        <c:overlap val="-27"/>
        <c:axId val="1931223231"/>
        <c:axId val="1931223711"/>
      </c:barChart>
      <c:catAx>
        <c:axId val="19312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23711"/>
        <c:crosses val="autoZero"/>
        <c:auto val="1"/>
        <c:lblAlgn val="ctr"/>
        <c:lblOffset val="100"/>
        <c:noMultiLvlLbl val="0"/>
      </c:catAx>
      <c:valAx>
        <c:axId val="193122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2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my project.xlsx]Sheet2!PivotTable6</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Sheet2!$R$37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72-43AA-93D7-C1D3A3DDE6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72-43AA-93D7-C1D3A3DDE6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72-43AA-93D7-C1D3A3DDE6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AB-4766-80FD-406805388E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Sheet2!$Q$38:$Q$42</c:f>
              <c:strCache>
                <c:ptCount val="4"/>
                <c:pt idx="0">
                  <c:v>Fruits</c:v>
                </c:pt>
                <c:pt idx="1">
                  <c:v>Groceries</c:v>
                </c:pt>
                <c:pt idx="2">
                  <c:v>Snacks</c:v>
                </c:pt>
                <c:pt idx="3">
                  <c:v>Vegetables</c:v>
                </c:pt>
              </c:strCache>
            </c:strRef>
          </c:cat>
          <c:val>
            <c:numRef>
              <c:f>Sheet2!$R$38:$R$42</c:f>
              <c:numCache>
                <c:formatCode>General</c:formatCode>
                <c:ptCount val="4"/>
                <c:pt idx="0">
                  <c:v>29695.130000000008</c:v>
                </c:pt>
                <c:pt idx="1">
                  <c:v>34495.780000000006</c:v>
                </c:pt>
                <c:pt idx="2">
                  <c:v>66642.460000000021</c:v>
                </c:pt>
                <c:pt idx="3">
                  <c:v>38320.15</c:v>
                </c:pt>
              </c:numCache>
            </c:numRef>
          </c:val>
          <c:extLst>
            <c:ext xmlns:c16="http://schemas.microsoft.com/office/drawing/2014/chart" uri="{C3380CC4-5D6E-409C-BE32-E72D297353CC}">
              <c16:uniqueId val="{00000000-E24D-4263-95F9-9CE1C764E9B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my project.xlsx]Sheet2!PivotTable2</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Sheet2!$B$30</c:f>
              <c:strCache>
                <c:ptCount val="1"/>
                <c:pt idx="0">
                  <c:v>Total</c:v>
                </c:pt>
              </c:strCache>
            </c:strRef>
          </c:tx>
          <c:spPr>
            <a:ln w="28575" cap="rnd">
              <a:solidFill>
                <a:schemeClr val="accent1"/>
              </a:solidFill>
              <a:round/>
            </a:ln>
            <a:effectLst/>
          </c:spPr>
          <c:marker>
            <c:symbol val="none"/>
          </c:marker>
          <c:cat>
            <c:strRef>
              <c:f>Sheet2!$A$31:$A$43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Sheet2!$B$31:$B$43</c:f>
              <c:numCache>
                <c:formatCode>General</c:formatCode>
                <c:ptCount val="12"/>
                <c:pt idx="0">
                  <c:v>10891.38</c:v>
                </c:pt>
                <c:pt idx="1">
                  <c:v>15255.239999999998</c:v>
                </c:pt>
                <c:pt idx="2">
                  <c:v>6380.78</c:v>
                </c:pt>
                <c:pt idx="3">
                  <c:v>12714.399999999998</c:v>
                </c:pt>
                <c:pt idx="4">
                  <c:v>16847.34</c:v>
                </c:pt>
                <c:pt idx="5">
                  <c:v>22853.140000000003</c:v>
                </c:pt>
                <c:pt idx="6">
                  <c:v>6046.41</c:v>
                </c:pt>
                <c:pt idx="7">
                  <c:v>23221.070000000007</c:v>
                </c:pt>
                <c:pt idx="8">
                  <c:v>13539.790000000003</c:v>
                </c:pt>
                <c:pt idx="9">
                  <c:v>17947.32</c:v>
                </c:pt>
                <c:pt idx="10">
                  <c:v>14334.56</c:v>
                </c:pt>
                <c:pt idx="11">
                  <c:v>9122.09</c:v>
                </c:pt>
              </c:numCache>
            </c:numRef>
          </c:val>
          <c:smooth val="0"/>
          <c:extLst>
            <c:ext xmlns:c16="http://schemas.microsoft.com/office/drawing/2014/chart" uri="{C3380CC4-5D6E-409C-BE32-E72D297353CC}">
              <c16:uniqueId val="{00000000-9248-4A3A-AAA3-CDBB592FD3D9}"/>
            </c:ext>
          </c:extLst>
        </c:ser>
        <c:dLbls>
          <c:showLegendKey val="0"/>
          <c:showVal val="0"/>
          <c:showCatName val="0"/>
          <c:showSerName val="0"/>
          <c:showPercent val="0"/>
          <c:showBubbleSize val="0"/>
        </c:dLbls>
        <c:smooth val="0"/>
        <c:axId val="1026297327"/>
        <c:axId val="1862523711"/>
      </c:lineChart>
      <c:catAx>
        <c:axId val="102629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523711"/>
        <c:crosses val="autoZero"/>
        <c:auto val="1"/>
        <c:lblAlgn val="ctr"/>
        <c:lblOffset val="100"/>
        <c:noMultiLvlLbl val="0"/>
      </c:catAx>
      <c:valAx>
        <c:axId val="1862523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29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my project.xlsx]Sheet2!PivotTable5</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1620612641355"/>
          <c:y val="0.19103991954687097"/>
          <c:w val="0.70628763320211241"/>
          <c:h val="0.58490246750326957"/>
        </c:manualLayout>
      </c:layout>
      <c:barChart>
        <c:barDir val="col"/>
        <c:grouping val="clustered"/>
        <c:varyColors val="0"/>
        <c:ser>
          <c:idx val="0"/>
          <c:order val="0"/>
          <c:tx>
            <c:strRef>
              <c:f>Sheet2!$B$46</c:f>
              <c:strCache>
                <c:ptCount val="1"/>
                <c:pt idx="0">
                  <c:v>Sum of Total Sales</c:v>
                </c:pt>
              </c:strCache>
            </c:strRef>
          </c:tx>
          <c:spPr>
            <a:solidFill>
              <a:schemeClr val="accent1"/>
            </a:solidFill>
            <a:ln>
              <a:noFill/>
            </a:ln>
            <a:effectLst/>
          </c:spPr>
          <c:invertIfNegative val="0"/>
          <c:cat>
            <c:strRef>
              <c:f>Sheet2!$A$47:$A$52</c:f>
              <c:strCache>
                <c:ptCount val="5"/>
                <c:pt idx="0">
                  <c:v>Chips</c:v>
                </c:pt>
                <c:pt idx="1">
                  <c:v>Chocolate</c:v>
                </c:pt>
                <c:pt idx="2">
                  <c:v>Grapes</c:v>
                </c:pt>
                <c:pt idx="3">
                  <c:v>Spinach</c:v>
                </c:pt>
                <c:pt idx="4">
                  <c:v>Sugar</c:v>
                </c:pt>
              </c:strCache>
            </c:strRef>
          </c:cat>
          <c:val>
            <c:numRef>
              <c:f>Sheet2!$B$47:$B$52</c:f>
              <c:numCache>
                <c:formatCode>General</c:formatCode>
                <c:ptCount val="5"/>
                <c:pt idx="0">
                  <c:v>22700.959999999999</c:v>
                </c:pt>
                <c:pt idx="1">
                  <c:v>43941.5</c:v>
                </c:pt>
                <c:pt idx="2">
                  <c:v>29695.130000000008</c:v>
                </c:pt>
                <c:pt idx="3">
                  <c:v>38320.15</c:v>
                </c:pt>
                <c:pt idx="4">
                  <c:v>34495.780000000006</c:v>
                </c:pt>
              </c:numCache>
            </c:numRef>
          </c:val>
          <c:extLst>
            <c:ext xmlns:c16="http://schemas.microsoft.com/office/drawing/2014/chart" uri="{C3380CC4-5D6E-409C-BE32-E72D297353CC}">
              <c16:uniqueId val="{00000000-8ECB-4AA1-A4EF-9A6E2A5535A7}"/>
            </c:ext>
          </c:extLst>
        </c:ser>
        <c:ser>
          <c:idx val="1"/>
          <c:order val="1"/>
          <c:tx>
            <c:strRef>
              <c:f>Sheet2!$C$46</c:f>
              <c:strCache>
                <c:ptCount val="1"/>
                <c:pt idx="0">
                  <c:v>Sum of Profit</c:v>
                </c:pt>
              </c:strCache>
            </c:strRef>
          </c:tx>
          <c:spPr>
            <a:solidFill>
              <a:schemeClr val="accent2"/>
            </a:solidFill>
            <a:ln>
              <a:noFill/>
            </a:ln>
            <a:effectLst/>
          </c:spPr>
          <c:invertIfNegative val="0"/>
          <c:cat>
            <c:strRef>
              <c:f>Sheet2!$A$47:$A$52</c:f>
              <c:strCache>
                <c:ptCount val="5"/>
                <c:pt idx="0">
                  <c:v>Chips</c:v>
                </c:pt>
                <c:pt idx="1">
                  <c:v>Chocolate</c:v>
                </c:pt>
                <c:pt idx="2">
                  <c:v>Grapes</c:v>
                </c:pt>
                <c:pt idx="3">
                  <c:v>Spinach</c:v>
                </c:pt>
                <c:pt idx="4">
                  <c:v>Sugar</c:v>
                </c:pt>
              </c:strCache>
            </c:strRef>
          </c:cat>
          <c:val>
            <c:numRef>
              <c:f>Sheet2!$C$47:$C$52</c:f>
              <c:numCache>
                <c:formatCode>General</c:formatCode>
                <c:ptCount val="5"/>
                <c:pt idx="0">
                  <c:v>5852.0500000000011</c:v>
                </c:pt>
                <c:pt idx="1">
                  <c:v>10620.970000000001</c:v>
                </c:pt>
                <c:pt idx="2">
                  <c:v>6682.75</c:v>
                </c:pt>
                <c:pt idx="3">
                  <c:v>9319.1</c:v>
                </c:pt>
                <c:pt idx="4">
                  <c:v>8020.760000000002</c:v>
                </c:pt>
              </c:numCache>
            </c:numRef>
          </c:val>
          <c:extLst>
            <c:ext xmlns:c16="http://schemas.microsoft.com/office/drawing/2014/chart" uri="{C3380CC4-5D6E-409C-BE32-E72D297353CC}">
              <c16:uniqueId val="{00000001-8ECB-4AA1-A4EF-9A6E2A5535A7}"/>
            </c:ext>
          </c:extLst>
        </c:ser>
        <c:dLbls>
          <c:showLegendKey val="0"/>
          <c:showVal val="0"/>
          <c:showCatName val="0"/>
          <c:showSerName val="0"/>
          <c:showPercent val="0"/>
          <c:showBubbleSize val="0"/>
        </c:dLbls>
        <c:gapWidth val="219"/>
        <c:overlap val="-27"/>
        <c:axId val="1931223231"/>
        <c:axId val="1931223711"/>
      </c:barChart>
      <c:catAx>
        <c:axId val="19312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23711"/>
        <c:crosses val="autoZero"/>
        <c:auto val="1"/>
        <c:lblAlgn val="ctr"/>
        <c:lblOffset val="100"/>
        <c:noMultiLvlLbl val="0"/>
      </c:catAx>
      <c:valAx>
        <c:axId val="1931223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2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my project.xlsx]Sheet2!PivotTable4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c:f>
              <c:strCache>
                <c:ptCount val="1"/>
                <c:pt idx="0">
                  <c:v>Total</c:v>
                </c:pt>
              </c:strCache>
            </c:strRef>
          </c:tx>
          <c:spPr>
            <a:solidFill>
              <a:schemeClr val="accent1"/>
            </a:solidFill>
            <a:ln>
              <a:noFill/>
            </a:ln>
            <a:effectLst/>
          </c:spPr>
          <c:invertIfNegative val="0"/>
          <c:cat>
            <c:strRef>
              <c:f>Sheet2!$A$3:$A$13</c:f>
              <c:strCache>
                <c:ptCount val="10"/>
                <c:pt idx="0">
                  <c:v>Delhi</c:v>
                </c:pt>
                <c:pt idx="1">
                  <c:v>Gujarat</c:v>
                </c:pt>
                <c:pt idx="2">
                  <c:v>Karnataka</c:v>
                </c:pt>
                <c:pt idx="3">
                  <c:v>Maharashtra</c:v>
                </c:pt>
                <c:pt idx="4">
                  <c:v>Punjab</c:v>
                </c:pt>
                <c:pt idx="5">
                  <c:v>Rajasthan</c:v>
                </c:pt>
                <c:pt idx="6">
                  <c:v>Tamil Nadu</c:v>
                </c:pt>
                <c:pt idx="7">
                  <c:v>Telangana</c:v>
                </c:pt>
                <c:pt idx="8">
                  <c:v>Uttar Pradesh</c:v>
                </c:pt>
                <c:pt idx="9">
                  <c:v>West Bengal</c:v>
                </c:pt>
              </c:strCache>
            </c:strRef>
          </c:cat>
          <c:val>
            <c:numRef>
              <c:f>Sheet2!$B$3:$B$13</c:f>
              <c:numCache>
                <c:formatCode>General</c:formatCode>
                <c:ptCount val="10"/>
                <c:pt idx="0">
                  <c:v>23824.579999999998</c:v>
                </c:pt>
                <c:pt idx="1">
                  <c:v>20173.580000000002</c:v>
                </c:pt>
                <c:pt idx="2">
                  <c:v>21461.649999999998</c:v>
                </c:pt>
                <c:pt idx="3">
                  <c:v>19797.420000000002</c:v>
                </c:pt>
                <c:pt idx="4">
                  <c:v>23427.16</c:v>
                </c:pt>
                <c:pt idx="5">
                  <c:v>7653.380000000001</c:v>
                </c:pt>
                <c:pt idx="6">
                  <c:v>11702.539999999999</c:v>
                </c:pt>
                <c:pt idx="7">
                  <c:v>12715.98</c:v>
                </c:pt>
                <c:pt idx="8">
                  <c:v>5363.13</c:v>
                </c:pt>
                <c:pt idx="9">
                  <c:v>23034.100000000002</c:v>
                </c:pt>
              </c:numCache>
            </c:numRef>
          </c:val>
          <c:extLst>
            <c:ext xmlns:c16="http://schemas.microsoft.com/office/drawing/2014/chart" uri="{C3380CC4-5D6E-409C-BE32-E72D297353CC}">
              <c16:uniqueId val="{00000000-36EF-4815-A527-0394508CD3F7}"/>
            </c:ext>
          </c:extLst>
        </c:ser>
        <c:dLbls>
          <c:showLegendKey val="0"/>
          <c:showVal val="0"/>
          <c:showCatName val="0"/>
          <c:showSerName val="0"/>
          <c:showPercent val="0"/>
          <c:showBubbleSize val="0"/>
        </c:dLbls>
        <c:gapWidth val="150"/>
        <c:axId val="1855256287"/>
        <c:axId val="1855263967"/>
      </c:barChart>
      <c:catAx>
        <c:axId val="185525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63967"/>
        <c:crosses val="autoZero"/>
        <c:auto val="1"/>
        <c:lblAlgn val="ctr"/>
        <c:lblOffset val="100"/>
        <c:noMultiLvlLbl val="0"/>
      </c:catAx>
      <c:valAx>
        <c:axId val="1855263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2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[execl my project.xlsx]Sheet2!PivotTable6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Sheet2!$R$37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D8-46E9-85EA-58F0310C93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D8-46E9-85EA-58F0310C93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D8-46E9-85EA-58F0310C93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D8-46E9-85EA-58F0310C93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D8-46E9-85EA-58F0310C93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D8-46E9-85EA-58F0310C93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Sheet2!$Q$38:$Q$42</c:f>
              <c:strCache>
                <c:ptCount val="4"/>
                <c:pt idx="0">
                  <c:v>Fruits</c:v>
                </c:pt>
                <c:pt idx="1">
                  <c:v>Groceries</c:v>
                </c:pt>
                <c:pt idx="2">
                  <c:v>Snacks</c:v>
                </c:pt>
                <c:pt idx="3">
                  <c:v>Vegetables</c:v>
                </c:pt>
              </c:strCache>
            </c:strRef>
          </c:cat>
          <c:val>
            <c:numRef>
              <c:f>Sheet2!$R$38:$R$42</c:f>
              <c:numCache>
                <c:formatCode>General</c:formatCode>
                <c:ptCount val="4"/>
                <c:pt idx="0">
                  <c:v>29695.130000000008</c:v>
                </c:pt>
                <c:pt idx="1">
                  <c:v>34495.780000000006</c:v>
                </c:pt>
                <c:pt idx="2">
                  <c:v>66642.460000000021</c:v>
                </c:pt>
                <c:pt idx="3">
                  <c:v>38320.15</c:v>
                </c:pt>
              </c:numCache>
            </c:numRef>
          </c:val>
          <c:extLst>
            <c:ext xmlns:c16="http://schemas.microsoft.com/office/drawing/2014/chart" uri="{C3380CC4-5D6E-409C-BE32-E72D297353CC}">
              <c16:uniqueId val="{0000000C-CDD8-46E9-85EA-58F0310C937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6.svg"/><Relationship Id="rId7" Type="http://schemas.openxmlformats.org/officeDocument/2006/relationships/chart" Target="../charts/chart8.xml"/><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chart" Target="../charts/chart7.xml"/><Relationship Id="rId11" Type="http://schemas.openxmlformats.org/officeDocument/2006/relationships/image" Target="../media/image10.svg"/><Relationship Id="rId5" Type="http://schemas.openxmlformats.org/officeDocument/2006/relationships/chart" Target="../charts/chart6.xml"/><Relationship Id="rId10" Type="http://schemas.openxmlformats.org/officeDocument/2006/relationships/image" Target="../media/image9.png"/><Relationship Id="rId4" Type="http://schemas.openxmlformats.org/officeDocument/2006/relationships/chart" Target="../charts/chart5.xml"/><Relationship Id="rId9"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12</xdr:col>
      <xdr:colOff>317500</xdr:colOff>
      <xdr:row>12</xdr:row>
      <xdr:rowOff>66040</xdr:rowOff>
    </xdr:from>
    <xdr:to>
      <xdr:col>16</xdr:col>
      <xdr:colOff>101599</xdr:colOff>
      <xdr:row>20</xdr:row>
      <xdr:rowOff>60960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A645BE93-049E-6490-8FF8-3A6CA5356C0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9309100" y="2286726"/>
              <a:ext cx="3376385" cy="14753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401320</xdr:colOff>
      <xdr:row>24</xdr:row>
      <xdr:rowOff>154941</xdr:rowOff>
    </xdr:from>
    <xdr:to>
      <xdr:col>16</xdr:col>
      <xdr:colOff>947057</xdr:colOff>
      <xdr:row>30</xdr:row>
      <xdr:rowOff>20320</xdr:rowOff>
    </xdr:to>
    <mc:AlternateContent xmlns:mc="http://schemas.openxmlformats.org/markup-compatibility/2006" xmlns:a14="http://schemas.microsoft.com/office/drawing/2010/main">
      <mc:Choice Requires="a14">
        <xdr:graphicFrame macro="">
          <xdr:nvGraphicFramePr>
            <xdr:cNvPr id="5" name="State">
              <a:extLst>
                <a:ext uri="{FF2B5EF4-FFF2-40B4-BE49-F238E27FC236}">
                  <a16:creationId xmlns:a16="http://schemas.microsoft.com/office/drawing/2014/main" id="{BE75D10A-BF27-0A8F-3A7E-C570125C89F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750663" y="4596312"/>
              <a:ext cx="4780280" cy="975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157480</xdr:colOff>
      <xdr:row>1</xdr:row>
      <xdr:rowOff>165101</xdr:rowOff>
    </xdr:from>
    <xdr:to>
      <xdr:col>21</xdr:col>
      <xdr:colOff>568959</xdr:colOff>
      <xdr:row>8</xdr:row>
      <xdr:rowOff>142241</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4F9CD45F-A3CD-663B-9B62-E3496B5D483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149080" y="350158"/>
              <a:ext cx="8075022"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182880</xdr:colOff>
      <xdr:row>1</xdr:row>
      <xdr:rowOff>60960</xdr:rowOff>
    </xdr:from>
    <xdr:to>
      <xdr:col>10</xdr:col>
      <xdr:colOff>314960</xdr:colOff>
      <xdr:row>16</xdr:row>
      <xdr:rowOff>60960</xdr:rowOff>
    </xdr:to>
    <xdr:graphicFrame macro="">
      <xdr:nvGraphicFramePr>
        <xdr:cNvPr id="8" name="Chart 7">
          <a:extLst>
            <a:ext uri="{FF2B5EF4-FFF2-40B4-BE49-F238E27FC236}">
              <a16:creationId xmlns:a16="http://schemas.microsoft.com/office/drawing/2014/main" id="{4FA2AEF6-705D-AFC8-A88A-DEAA24890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162560</xdr:colOff>
      <xdr:row>27</xdr:row>
      <xdr:rowOff>121920</xdr:rowOff>
    </xdr:from>
    <xdr:to>
      <xdr:col>10</xdr:col>
      <xdr:colOff>294640</xdr:colOff>
      <xdr:row>42</xdr:row>
      <xdr:rowOff>121920</xdr:rowOff>
    </xdr:to>
    <xdr:graphicFrame macro="">
      <xdr:nvGraphicFramePr>
        <xdr:cNvPr id="9" name="Chart 8">
          <a:extLst>
            <a:ext uri="{FF2B5EF4-FFF2-40B4-BE49-F238E27FC236}">
              <a16:creationId xmlns:a16="http://schemas.microsoft.com/office/drawing/2014/main" id="{FD5D2E3C-0302-2F7B-7E15-D0AD7A6DB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511629</xdr:colOff>
      <xdr:row>44</xdr:row>
      <xdr:rowOff>97972</xdr:rowOff>
    </xdr:from>
    <xdr:to>
      <xdr:col>13</xdr:col>
      <xdr:colOff>250371</xdr:colOff>
      <xdr:row>62</xdr:row>
      <xdr:rowOff>76199</xdr:rowOff>
    </xdr:to>
    <xdr:graphicFrame macro="">
      <xdr:nvGraphicFramePr>
        <xdr:cNvPr id="11" name="Chart 10">
          <a:extLst>
            <a:ext uri="{FF2B5EF4-FFF2-40B4-BE49-F238E27FC236}">
              <a16:creationId xmlns:a16="http://schemas.microsoft.com/office/drawing/2014/main" id="{409E0CCA-D7F2-1BA7-FA99-922DD8309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1088571</xdr:colOff>
      <xdr:row>46</xdr:row>
      <xdr:rowOff>163286</xdr:rowOff>
    </xdr:from>
    <xdr:to>
      <xdr:col>21</xdr:col>
      <xdr:colOff>76200</xdr:colOff>
      <xdr:row>65</xdr:row>
      <xdr:rowOff>108859</xdr:rowOff>
    </xdr:to>
    <xdr:graphicFrame macro="">
      <xdr:nvGraphicFramePr>
        <xdr:cNvPr id="12" name="Chart 11">
          <a:extLst>
            <a:ext uri="{FF2B5EF4-FFF2-40B4-BE49-F238E27FC236}">
              <a16:creationId xmlns:a16="http://schemas.microsoft.com/office/drawing/2014/main" id="{EC6AAC8C-390A-3B3C-C1F4-B382F1CF3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487350</xdr:colOff>
      <xdr:row>76</xdr:row>
      <xdr:rowOff>142067</xdr:rowOff>
    </xdr:to>
    <xdr:sp macro="" textlink="">
      <xdr:nvSpPr>
        <xdr:cNvPr id="2" name="Rectangle: Rounded Corners 1">
          <a:extLst>
            <a:ext uri="{FF2B5EF4-FFF2-40B4-BE49-F238E27FC236}">
              <a16:creationId xmlns:a16="http://schemas.microsoft.com/office/drawing/2014/main" id="{FCEBD3EF-9E02-DAFD-6995-80617A2752A6}"/>
            </a:ext>
          </a:extLst>
        </xdr:cNvPr>
        <xdr:cNvSpPr/>
      </xdr:nvSpPr>
      <xdr:spPr>
        <a:xfrm>
          <a:off x="0" y="0"/>
          <a:ext cx="23553994" cy="13883898"/>
        </a:xfrm>
        <a:prstGeom prst="roundRect">
          <a:avLst>
            <a:gd name="adj" fmla="val 1968"/>
          </a:avLst>
        </a:prstGeom>
        <a:solidFill>
          <a:srgbClr val="00B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309965</xdr:colOff>
      <xdr:row>0</xdr:row>
      <xdr:rowOff>25830</xdr:rowOff>
    </xdr:from>
    <xdr:to>
      <xdr:col>47</xdr:col>
      <xdr:colOff>25830</xdr:colOff>
      <xdr:row>78</xdr:row>
      <xdr:rowOff>25830</xdr:rowOff>
    </xdr:to>
    <xdr:sp macro="" textlink="">
      <xdr:nvSpPr>
        <xdr:cNvPr id="3" name="Rectangle: Rounded Corners 2">
          <a:extLst>
            <a:ext uri="{FF2B5EF4-FFF2-40B4-BE49-F238E27FC236}">
              <a16:creationId xmlns:a16="http://schemas.microsoft.com/office/drawing/2014/main" id="{FA3FE250-F09E-404D-BFDA-AD12063539FC}"/>
            </a:ext>
          </a:extLst>
        </xdr:cNvPr>
        <xdr:cNvSpPr/>
      </xdr:nvSpPr>
      <xdr:spPr>
        <a:xfrm>
          <a:off x="4559084" y="25830"/>
          <a:ext cx="23996543" cy="14103458"/>
        </a:xfrm>
        <a:prstGeom prst="roundRect">
          <a:avLst>
            <a:gd name="adj" fmla="val 168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569074</xdr:colOff>
      <xdr:row>0</xdr:row>
      <xdr:rowOff>144418</xdr:rowOff>
    </xdr:from>
    <xdr:to>
      <xdr:col>16</xdr:col>
      <xdr:colOff>573145</xdr:colOff>
      <xdr:row>9</xdr:row>
      <xdr:rowOff>430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FB202275-CB04-43EB-B37F-BA72FCA8819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639243" y="144418"/>
              <a:ext cx="3646173" cy="14833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136352</xdr:colOff>
      <xdr:row>1</xdr:row>
      <xdr:rowOff>177044</xdr:rowOff>
    </xdr:from>
    <xdr:to>
      <xdr:col>36</xdr:col>
      <xdr:colOff>487181</xdr:colOff>
      <xdr:row>7</xdr:row>
      <xdr:rowOff>167273</xdr:rowOff>
    </xdr:to>
    <mc:AlternateContent xmlns:mc="http://schemas.openxmlformats.org/markup-compatibility/2006" xmlns:a14="http://schemas.microsoft.com/office/drawing/2010/main">
      <mc:Choice Requires="a14">
        <xdr:graphicFrame macro="">
          <xdr:nvGraphicFramePr>
            <xdr:cNvPr id="6" name="State 2">
              <a:extLst>
                <a:ext uri="{FF2B5EF4-FFF2-40B4-BE49-F238E27FC236}">
                  <a16:creationId xmlns:a16="http://schemas.microsoft.com/office/drawing/2014/main" id="{E2D48306-9AC3-48A7-9699-4D1913F0E629}"/>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1062657" y="357858"/>
              <a:ext cx="11277134" cy="1075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335797</xdr:colOff>
      <xdr:row>2</xdr:row>
      <xdr:rowOff>29493</xdr:rowOff>
    </xdr:from>
    <xdr:to>
      <xdr:col>7</xdr:col>
      <xdr:colOff>146950</xdr:colOff>
      <xdr:row>8</xdr:row>
      <xdr:rowOff>117996</xdr:rowOff>
    </xdr:to>
    <xdr:pic>
      <xdr:nvPicPr>
        <xdr:cNvPr id="8" name="Picture 7">
          <a:extLst>
            <a:ext uri="{FF2B5EF4-FFF2-40B4-BE49-F238E27FC236}">
              <a16:creationId xmlns:a16="http://schemas.microsoft.com/office/drawing/2014/main" id="{4CB381F4-D8AE-39F1-C880-CFB8F844A090}"/>
            </a:ext>
          </a:extLst>
        </xdr:cNvPr>
        <xdr:cNvPicPr>
          <a:picLocks noChangeAspect="1"/>
        </xdr:cNvPicPr>
      </xdr:nvPicPr>
      <xdr:blipFill>
        <a:blip xmlns:r="http://schemas.openxmlformats.org/officeDocument/2006/relationships" r:embed="rId1"/>
        <a:stretch>
          <a:fillRect/>
        </a:stretch>
      </xdr:blipFill>
      <xdr:spPr>
        <a:xfrm>
          <a:off x="335797" y="391120"/>
          <a:ext cx="4060272" cy="1173384"/>
        </a:xfrm>
        <a:prstGeom prst="rect">
          <a:avLst/>
        </a:prstGeom>
      </xdr:spPr>
    </xdr:pic>
    <xdr:clientData/>
  </xdr:twoCellAnchor>
  <xdr:twoCellAnchor editAs="oneCell">
    <xdr:from>
      <xdr:col>9</xdr:col>
      <xdr:colOff>851</xdr:colOff>
      <xdr:row>10</xdr:row>
      <xdr:rowOff>1</xdr:rowOff>
    </xdr:from>
    <xdr:to>
      <xdr:col>38</xdr:col>
      <xdr:colOff>37475</xdr:colOff>
      <xdr:row>15</xdr:row>
      <xdr:rowOff>24984</xdr:rowOff>
    </xdr:to>
    <mc:AlternateContent xmlns:mc="http://schemas.openxmlformats.org/markup-compatibility/2006" xmlns:a14="http://schemas.microsoft.com/office/drawing/2010/main">
      <mc:Choice Requires="a14">
        <xdr:graphicFrame macro="">
          <xdr:nvGraphicFramePr>
            <xdr:cNvPr id="9" name="Product 1">
              <a:extLst>
                <a:ext uri="{FF2B5EF4-FFF2-40B4-BE49-F238E27FC236}">
                  <a16:creationId xmlns:a16="http://schemas.microsoft.com/office/drawing/2014/main" id="{1989C71E-BC7A-43A7-99C4-F52F0958982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464004" y="1808137"/>
              <a:ext cx="17640115" cy="92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249837</xdr:colOff>
      <xdr:row>9</xdr:row>
      <xdr:rowOff>149902</xdr:rowOff>
    </xdr:from>
    <xdr:to>
      <xdr:col>2</xdr:col>
      <xdr:colOff>474689</xdr:colOff>
      <xdr:row>14</xdr:row>
      <xdr:rowOff>49967</xdr:rowOff>
    </xdr:to>
    <xdr:pic>
      <xdr:nvPicPr>
        <xdr:cNvPr id="11" name="Graphic 10" descr="Bar graph with upward trend with solid fill">
          <a:extLst>
            <a:ext uri="{FF2B5EF4-FFF2-40B4-BE49-F238E27FC236}">
              <a16:creationId xmlns:a16="http://schemas.microsoft.com/office/drawing/2014/main" id="{62151050-7E52-6A64-B3D6-D41F36FD5B9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61935" y="1836295"/>
          <a:ext cx="836951" cy="836951"/>
        </a:xfrm>
        <a:prstGeom prst="rect">
          <a:avLst/>
        </a:prstGeom>
      </xdr:spPr>
    </xdr:pic>
    <xdr:clientData/>
  </xdr:twoCellAnchor>
  <xdr:twoCellAnchor>
    <xdr:from>
      <xdr:col>2</xdr:col>
      <xdr:colOff>412230</xdr:colOff>
      <xdr:row>10</xdr:row>
      <xdr:rowOff>87444</xdr:rowOff>
    </xdr:from>
    <xdr:to>
      <xdr:col>6</xdr:col>
      <xdr:colOff>87443</xdr:colOff>
      <xdr:row>14</xdr:row>
      <xdr:rowOff>99935</xdr:rowOff>
    </xdr:to>
    <xdr:sp macro="" textlink="">
      <xdr:nvSpPr>
        <xdr:cNvPr id="12" name="Rectangle 11">
          <a:extLst>
            <a:ext uri="{FF2B5EF4-FFF2-40B4-BE49-F238E27FC236}">
              <a16:creationId xmlns:a16="http://schemas.microsoft.com/office/drawing/2014/main" id="{1F9EA6C5-354B-8383-6A8C-98297086703B}"/>
            </a:ext>
          </a:extLst>
        </xdr:cNvPr>
        <xdr:cNvSpPr/>
      </xdr:nvSpPr>
      <xdr:spPr>
        <a:xfrm>
          <a:off x="1636427" y="1961214"/>
          <a:ext cx="2123606" cy="762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a:solidFill>
                <a:schemeClr val="tx1"/>
              </a:solidFill>
            </a:rPr>
            <a:t>Analytics</a:t>
          </a:r>
          <a:endParaRPr lang="en-IN" sz="1100" b="1">
            <a:solidFill>
              <a:schemeClr val="tx1"/>
            </a:solidFill>
          </a:endParaRPr>
        </a:p>
      </xdr:txBody>
    </xdr:sp>
    <xdr:clientData/>
  </xdr:twoCellAnchor>
  <xdr:twoCellAnchor>
    <xdr:from>
      <xdr:col>9</xdr:col>
      <xdr:colOff>88294</xdr:colOff>
      <xdr:row>16</xdr:row>
      <xdr:rowOff>24983</xdr:rowOff>
    </xdr:from>
    <xdr:to>
      <xdr:col>21</xdr:col>
      <xdr:colOff>258305</xdr:colOff>
      <xdr:row>32</xdr:row>
      <xdr:rowOff>129152</xdr:rowOff>
    </xdr:to>
    <xdr:graphicFrame macro="">
      <xdr:nvGraphicFramePr>
        <xdr:cNvPr id="14" name="Chart 13">
          <a:extLst>
            <a:ext uri="{FF2B5EF4-FFF2-40B4-BE49-F238E27FC236}">
              <a16:creationId xmlns:a16="http://schemas.microsoft.com/office/drawing/2014/main" id="{C509B254-9BDF-48AF-8A29-ACCF815F7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400588</xdr:colOff>
      <xdr:row>16</xdr:row>
      <xdr:rowOff>12492</xdr:rowOff>
    </xdr:from>
    <xdr:to>
      <xdr:col>36</xdr:col>
      <xdr:colOff>245390</xdr:colOff>
      <xdr:row>33</xdr:row>
      <xdr:rowOff>12916</xdr:rowOff>
    </xdr:to>
    <xdr:graphicFrame macro="">
      <xdr:nvGraphicFramePr>
        <xdr:cNvPr id="15" name="Chart 14">
          <a:extLst>
            <a:ext uri="{FF2B5EF4-FFF2-40B4-BE49-F238E27FC236}">
              <a16:creationId xmlns:a16="http://schemas.microsoft.com/office/drawing/2014/main" id="{095D8DB9-AEE9-4568-A1CC-34B9472A3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12915</xdr:colOff>
      <xdr:row>34</xdr:row>
      <xdr:rowOff>0</xdr:rowOff>
    </xdr:from>
    <xdr:to>
      <xdr:col>21</xdr:col>
      <xdr:colOff>361627</xdr:colOff>
      <xdr:row>54</xdr:row>
      <xdr:rowOff>51662</xdr:rowOff>
    </xdr:to>
    <xdr:graphicFrame macro="">
      <xdr:nvGraphicFramePr>
        <xdr:cNvPr id="16" name="Chart 15">
          <a:extLst>
            <a:ext uri="{FF2B5EF4-FFF2-40B4-BE49-F238E27FC236}">
              <a16:creationId xmlns:a16="http://schemas.microsoft.com/office/drawing/2014/main" id="{2C5AA87F-4BC9-4283-9377-48367A4D5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38746</xdr:colOff>
      <xdr:row>34</xdr:row>
      <xdr:rowOff>116238</xdr:rowOff>
    </xdr:from>
    <xdr:to>
      <xdr:col>33</xdr:col>
      <xdr:colOff>61994</xdr:colOff>
      <xdr:row>53</xdr:row>
      <xdr:rowOff>142438</xdr:rowOff>
    </xdr:to>
    <xdr:graphicFrame macro="">
      <xdr:nvGraphicFramePr>
        <xdr:cNvPr id="17" name="Chart 16">
          <a:extLst>
            <a:ext uri="{FF2B5EF4-FFF2-40B4-BE49-F238E27FC236}">
              <a16:creationId xmlns:a16="http://schemas.microsoft.com/office/drawing/2014/main" id="{88CB7F28-CBFE-4E9B-B99E-B291A46C8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77493</xdr:colOff>
      <xdr:row>18</xdr:row>
      <xdr:rowOff>64575</xdr:rowOff>
    </xdr:from>
    <xdr:to>
      <xdr:col>7</xdr:col>
      <xdr:colOff>103323</xdr:colOff>
      <xdr:row>26</xdr:row>
      <xdr:rowOff>51659</xdr:rowOff>
    </xdr:to>
    <xdr:sp macro="" textlink="">
      <xdr:nvSpPr>
        <xdr:cNvPr id="18" name="Rectangle: Rounded Corners 17">
          <a:extLst>
            <a:ext uri="{FF2B5EF4-FFF2-40B4-BE49-F238E27FC236}">
              <a16:creationId xmlns:a16="http://schemas.microsoft.com/office/drawing/2014/main" id="{711D83F7-1A48-3812-E040-F844F6547717}"/>
            </a:ext>
          </a:extLst>
        </xdr:cNvPr>
        <xdr:cNvSpPr/>
      </xdr:nvSpPr>
      <xdr:spPr>
        <a:xfrm>
          <a:off x="684510" y="3319219"/>
          <a:ext cx="3667932" cy="1433593"/>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568271</xdr:colOff>
      <xdr:row>28</xdr:row>
      <xdr:rowOff>12914</xdr:rowOff>
    </xdr:from>
    <xdr:to>
      <xdr:col>6</xdr:col>
      <xdr:colOff>594101</xdr:colOff>
      <xdr:row>35</xdr:row>
      <xdr:rowOff>180812</xdr:rowOff>
    </xdr:to>
    <xdr:sp macro="" textlink="">
      <xdr:nvSpPr>
        <xdr:cNvPr id="21" name="Rectangle: Rounded Corners 20">
          <a:extLst>
            <a:ext uri="{FF2B5EF4-FFF2-40B4-BE49-F238E27FC236}">
              <a16:creationId xmlns:a16="http://schemas.microsoft.com/office/drawing/2014/main" id="{0ADCFE13-21CC-496B-8F30-AA4641378F61}"/>
            </a:ext>
          </a:extLst>
        </xdr:cNvPr>
        <xdr:cNvSpPr/>
      </xdr:nvSpPr>
      <xdr:spPr>
        <a:xfrm>
          <a:off x="568271" y="5075694"/>
          <a:ext cx="3667932" cy="143359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568272</xdr:colOff>
      <xdr:row>29</xdr:row>
      <xdr:rowOff>90406</xdr:rowOff>
    </xdr:from>
    <xdr:to>
      <xdr:col>2</xdr:col>
      <xdr:colOff>232475</xdr:colOff>
      <xdr:row>34</xdr:row>
      <xdr:rowOff>64575</xdr:rowOff>
    </xdr:to>
    <xdr:pic>
      <xdr:nvPicPr>
        <xdr:cNvPr id="33" name="Graphic 32" descr="Business Growth with solid fill">
          <a:extLst>
            <a:ext uri="{FF2B5EF4-FFF2-40B4-BE49-F238E27FC236}">
              <a16:creationId xmlns:a16="http://schemas.microsoft.com/office/drawing/2014/main" id="{6BEA0E31-6472-3365-D5B4-FB4AC7EBE5E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8272" y="5333999"/>
          <a:ext cx="878237" cy="878237"/>
        </a:xfrm>
        <a:prstGeom prst="rect">
          <a:avLst/>
        </a:prstGeom>
      </xdr:spPr>
    </xdr:pic>
    <xdr:clientData/>
  </xdr:twoCellAnchor>
  <xdr:twoCellAnchor editAs="oneCell">
    <xdr:from>
      <xdr:col>0</xdr:col>
      <xdr:colOff>568272</xdr:colOff>
      <xdr:row>19</xdr:row>
      <xdr:rowOff>167897</xdr:rowOff>
    </xdr:from>
    <xdr:to>
      <xdr:col>2</xdr:col>
      <xdr:colOff>268638</xdr:colOff>
      <xdr:row>24</xdr:row>
      <xdr:rowOff>178230</xdr:rowOff>
    </xdr:to>
    <xdr:pic>
      <xdr:nvPicPr>
        <xdr:cNvPr id="35" name="Graphic 34" descr="Rupee with solid fill">
          <a:extLst>
            <a:ext uri="{FF2B5EF4-FFF2-40B4-BE49-F238E27FC236}">
              <a16:creationId xmlns:a16="http://schemas.microsoft.com/office/drawing/2014/main" id="{5E16BD1A-59FA-2FBE-0718-8BFF6F9E86F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8272" y="3603355"/>
          <a:ext cx="914400" cy="914400"/>
        </a:xfrm>
        <a:prstGeom prst="rect">
          <a:avLst/>
        </a:prstGeom>
      </xdr:spPr>
    </xdr:pic>
    <xdr:clientData/>
  </xdr:twoCellAnchor>
  <xdr:twoCellAnchor>
    <xdr:from>
      <xdr:col>2</xdr:col>
      <xdr:colOff>206644</xdr:colOff>
      <xdr:row>28</xdr:row>
      <xdr:rowOff>142066</xdr:rowOff>
    </xdr:from>
    <xdr:to>
      <xdr:col>6</xdr:col>
      <xdr:colOff>568271</xdr:colOff>
      <xdr:row>35</xdr:row>
      <xdr:rowOff>154981</xdr:rowOff>
    </xdr:to>
    <xdr:sp macro="" textlink="Sheet2!C64">
      <xdr:nvSpPr>
        <xdr:cNvPr id="40" name="Rectangle: Rounded Corners 39">
          <a:extLst>
            <a:ext uri="{FF2B5EF4-FFF2-40B4-BE49-F238E27FC236}">
              <a16:creationId xmlns:a16="http://schemas.microsoft.com/office/drawing/2014/main" id="{8D14A557-F533-4EBC-B5F1-4B9F5D1361C5}"/>
            </a:ext>
          </a:extLst>
        </xdr:cNvPr>
        <xdr:cNvSpPr/>
      </xdr:nvSpPr>
      <xdr:spPr>
        <a:xfrm>
          <a:off x="1420678" y="5204846"/>
          <a:ext cx="2789695" cy="127861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ysClr val="windowText" lastClr="000000"/>
              </a:solidFill>
            </a:rPr>
            <a:t>        Total</a:t>
          </a:r>
          <a:r>
            <a:rPr lang="en-IN" sz="2400" b="1" baseline="0">
              <a:solidFill>
                <a:sysClr val="windowText" lastClr="000000"/>
              </a:solidFill>
            </a:rPr>
            <a:t> sales</a:t>
          </a:r>
        </a:p>
        <a:p>
          <a:pPr algn="l"/>
          <a:r>
            <a:rPr lang="en-IN" sz="2400" b="1" baseline="0">
              <a:solidFill>
                <a:sysClr val="windowText" lastClr="000000"/>
              </a:solidFill>
            </a:rPr>
            <a:t>         </a:t>
          </a:r>
          <a:endParaRPr lang="en-IN" sz="2400" b="1">
            <a:solidFill>
              <a:sysClr val="windowText" lastClr="000000"/>
            </a:solidFill>
          </a:endParaRPr>
        </a:p>
      </xdr:txBody>
    </xdr:sp>
    <xdr:clientData/>
  </xdr:twoCellAnchor>
  <xdr:twoCellAnchor>
    <xdr:from>
      <xdr:col>2</xdr:col>
      <xdr:colOff>335798</xdr:colOff>
      <xdr:row>18</xdr:row>
      <xdr:rowOff>180812</xdr:rowOff>
    </xdr:from>
    <xdr:to>
      <xdr:col>7</xdr:col>
      <xdr:colOff>90408</xdr:colOff>
      <xdr:row>26</xdr:row>
      <xdr:rowOff>12913</xdr:rowOff>
    </xdr:to>
    <xdr:sp macro="" textlink="Sheet2!C64">
      <xdr:nvSpPr>
        <xdr:cNvPr id="43" name="Rectangle: Rounded Corners 42">
          <a:extLst>
            <a:ext uri="{FF2B5EF4-FFF2-40B4-BE49-F238E27FC236}">
              <a16:creationId xmlns:a16="http://schemas.microsoft.com/office/drawing/2014/main" id="{4DD9F168-7AFE-4A94-865C-E590878D0C31}"/>
            </a:ext>
          </a:extLst>
        </xdr:cNvPr>
        <xdr:cNvSpPr/>
      </xdr:nvSpPr>
      <xdr:spPr>
        <a:xfrm>
          <a:off x="1549832" y="3435456"/>
          <a:ext cx="2789695" cy="127861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ysClr val="windowText" lastClr="000000"/>
              </a:solidFill>
            </a:rPr>
            <a:t>        Total</a:t>
          </a:r>
          <a:r>
            <a:rPr lang="en-IN" sz="2400" b="1" baseline="0">
              <a:solidFill>
                <a:sysClr val="windowText" lastClr="000000"/>
              </a:solidFill>
            </a:rPr>
            <a:t> Amount</a:t>
          </a:r>
        </a:p>
        <a:p>
          <a:pPr algn="l"/>
          <a:r>
            <a:rPr lang="en-IN" sz="2400" b="1" baseline="0">
              <a:solidFill>
                <a:sysClr val="windowText" lastClr="000000"/>
              </a:solidFill>
            </a:rPr>
            <a:t>                 </a:t>
          </a:r>
          <a:endParaRPr lang="en-IN" sz="2400" b="1">
            <a:solidFill>
              <a:sysClr val="windowText" lastClr="000000"/>
            </a:solidFill>
          </a:endParaRPr>
        </a:p>
      </xdr:txBody>
    </xdr:sp>
    <xdr:clientData/>
  </xdr:twoCellAnchor>
  <xdr:oneCellAnchor>
    <xdr:from>
      <xdr:col>3</xdr:col>
      <xdr:colOff>413288</xdr:colOff>
      <xdr:row>22</xdr:row>
      <xdr:rowOff>25831</xdr:rowOff>
    </xdr:from>
    <xdr:ext cx="1859797" cy="632847"/>
    <xdr:sp macro="" textlink="Sheet2!C64">
      <xdr:nvSpPr>
        <xdr:cNvPr id="4" name="TextBox 3">
          <a:extLst>
            <a:ext uri="{FF2B5EF4-FFF2-40B4-BE49-F238E27FC236}">
              <a16:creationId xmlns:a16="http://schemas.microsoft.com/office/drawing/2014/main" id="{D2797E07-5E43-B3A5-EE29-D4D01697DE08}"/>
            </a:ext>
          </a:extLst>
        </xdr:cNvPr>
        <xdr:cNvSpPr txBox="1"/>
      </xdr:nvSpPr>
      <xdr:spPr>
        <a:xfrm>
          <a:off x="2234339" y="4003729"/>
          <a:ext cx="1859797" cy="63284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4BB310C-6779-4757-BDB4-FE4043AEADFF}" type="TxLink">
            <a:rPr lang="en-US" sz="2400" b="1" i="0" u="none" strike="noStrike">
              <a:solidFill>
                <a:srgbClr val="000000"/>
              </a:solidFill>
              <a:latin typeface="Calibri"/>
              <a:ea typeface="Calibri"/>
              <a:cs typeface="Calibri"/>
            </a:rPr>
            <a:pPr/>
            <a:t>169153.52</a:t>
          </a:fld>
          <a:endParaRPr lang="en-US" sz="2400"/>
        </a:p>
      </xdr:txBody>
    </xdr:sp>
    <xdr:clientData/>
  </xdr:oneCellAnchor>
  <xdr:twoCellAnchor>
    <xdr:from>
      <xdr:col>3</xdr:col>
      <xdr:colOff>542440</xdr:colOff>
      <xdr:row>31</xdr:row>
      <xdr:rowOff>142069</xdr:rowOff>
    </xdr:from>
    <xdr:to>
      <xdr:col>6</xdr:col>
      <xdr:colOff>219558</xdr:colOff>
      <xdr:row>34</xdr:row>
      <xdr:rowOff>116238</xdr:rowOff>
    </xdr:to>
    <xdr:sp macro="" textlink="Sheet2!C67">
      <xdr:nvSpPr>
        <xdr:cNvPr id="7" name="Rectangle 6">
          <a:extLst>
            <a:ext uri="{FF2B5EF4-FFF2-40B4-BE49-F238E27FC236}">
              <a16:creationId xmlns:a16="http://schemas.microsoft.com/office/drawing/2014/main" id="{34936CA0-B6A5-8CC5-47FC-978AC81A03A6}"/>
            </a:ext>
          </a:extLst>
        </xdr:cNvPr>
        <xdr:cNvSpPr/>
      </xdr:nvSpPr>
      <xdr:spPr>
        <a:xfrm>
          <a:off x="2363491" y="5747289"/>
          <a:ext cx="1498169" cy="516610"/>
        </a:xfrm>
        <a:prstGeom prst="rect">
          <a:avLst/>
        </a:prstGeom>
        <a:solidFill>
          <a:schemeClr val="bg2"/>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B2680D3E-C9CB-4FE6-8749-783D057F4E02}" type="TxLink">
            <a:rPr lang="en-US" sz="2400" b="1" i="0" u="none" strike="noStrike">
              <a:solidFill>
                <a:srgbClr val="000000"/>
              </a:solidFill>
              <a:latin typeface="Calibri"/>
              <a:ea typeface="Calibri"/>
              <a:cs typeface="Calibri"/>
            </a:rPr>
            <a:pPr algn="l"/>
            <a:t>148</a:t>
          </a:fld>
          <a:endParaRPr lang="en-US"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vala Raghu" refreshedDate="45769.078141203703" createdVersion="8" refreshedVersion="8" minRefreshableVersion="3" recordCount="720" xr:uid="{3D32C6C4-0A61-4D30-B875-E53E26299245}">
  <cacheSource type="worksheet">
    <worksheetSource name="Table1"/>
  </cacheSource>
  <cacheFields count="17">
    <cacheField name="Order ID" numFmtId="0">
      <sharedItems containsSemiMixedTypes="0" containsString="0" containsNumber="1" containsInteger="1" minValue="2001" maxValue="2720" count="72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sharedItems>
    </cacheField>
    <cacheField name="Order Date" numFmtId="164">
      <sharedItems containsSemiMixedTypes="0" containsNonDate="0" containsDate="1" containsString="0" minDate="2022-01-05T00:00:00" maxDate="2024-12-29T00:00:00" count="515">
        <d v="2022-03-27T00:00:00"/>
        <d v="2022-10-14T00:00:00"/>
        <d v="2023-09-24T00:00:00"/>
        <d v="2023-07-11T00:00:00"/>
        <d v="2023-08-18T00:00:00"/>
        <d v="2022-11-02T00:00:00"/>
        <d v="2023-06-23T00:00:00"/>
        <d v="2022-03-21T00:00:00"/>
        <d v="2024-09-19T00:00:00"/>
        <d v="2024-11-11T00:00:00"/>
        <d v="2022-04-03T00:00:00"/>
        <d v="2022-03-13T00:00:00"/>
        <d v="2024-05-04T00:00:00"/>
        <d v="2023-03-27T00:00:00"/>
        <d v="2022-12-12T00:00:00"/>
        <d v="2023-08-16T00:00:00"/>
        <d v="2024-02-03T00:00:00"/>
        <d v="2023-11-18T00:00:00"/>
        <d v="2024-04-04T00:00:00"/>
        <d v="2024-04-01T00:00:00"/>
        <d v="2022-05-22T00:00:00"/>
        <d v="2022-02-11T00:00:00"/>
        <d v="2022-02-08T00:00:00"/>
        <d v="2022-05-04T00:00:00"/>
        <d v="2023-08-01T00:00:00"/>
        <d v="2023-09-06T00:00:00"/>
        <d v="2023-06-15T00:00:00"/>
        <d v="2024-09-04T00:00:00"/>
        <d v="2024-05-18T00:00:00"/>
        <d v="2024-12-07T00:00:00"/>
        <d v="2022-04-25T00:00:00"/>
        <d v="2024-05-26T00:00:00"/>
        <d v="2023-12-13T00:00:00"/>
        <d v="2022-11-15T00:00:00"/>
        <d v="2023-08-25T00:00:00"/>
        <d v="2024-02-06T00:00:00"/>
        <d v="2024-01-26T00:00:00"/>
        <d v="2023-11-26T00:00:00"/>
        <d v="2024-11-02T00:00:00"/>
        <d v="2024-05-15T00:00:00"/>
        <d v="2023-06-12T00:00:00"/>
        <d v="2023-09-05T00:00:00"/>
        <d v="2023-07-07T00:00:00"/>
        <d v="2023-01-18T00:00:00"/>
        <d v="2022-10-25T00:00:00"/>
        <d v="2022-12-05T00:00:00"/>
        <d v="2023-06-27T00:00:00"/>
        <d v="2023-10-22T00:00:00"/>
        <d v="2024-01-27T00:00:00"/>
        <d v="2024-03-20T00:00:00"/>
        <d v="2023-07-24T00:00:00"/>
        <d v="2024-10-03T00:00:00"/>
        <d v="2023-11-25T00:00:00"/>
        <d v="2022-01-18T00:00:00"/>
        <d v="2024-06-24T00:00:00"/>
        <d v="2022-02-17T00:00:00"/>
        <d v="2024-04-05T00:00:00"/>
        <d v="2022-07-24T00:00:00"/>
        <d v="2023-03-21T00:00:00"/>
        <d v="2023-09-13T00:00:00"/>
        <d v="2022-07-28T00:00:00"/>
        <d v="2022-05-26T00:00:00"/>
        <d v="2022-07-27T00:00:00"/>
        <d v="2023-01-21T00:00:00"/>
        <d v="2024-02-14T00:00:00"/>
        <d v="2023-08-09T00:00:00"/>
        <d v="2022-05-01T00:00:00"/>
        <d v="2024-02-23T00:00:00"/>
        <d v="2022-10-19T00:00:00"/>
        <d v="2023-09-08T00:00:00"/>
        <d v="2024-05-24T00:00:00"/>
        <d v="2022-01-14T00:00:00"/>
        <d v="2022-04-10T00:00:00"/>
        <d v="2022-06-17T00:00:00"/>
        <d v="2024-08-09T00:00:00"/>
        <d v="2023-10-23T00:00:00"/>
        <d v="2024-11-23T00:00:00"/>
        <d v="2022-01-09T00:00:00"/>
        <d v="2023-03-12T00:00:00"/>
        <d v="2022-10-08T00:00:00"/>
        <d v="2023-10-10T00:00:00"/>
        <d v="2024-02-25T00:00:00"/>
        <d v="2022-05-03T00:00:00"/>
        <d v="2024-01-10T00:00:00"/>
        <d v="2022-08-19T00:00:00"/>
        <d v="2024-01-16T00:00:00"/>
        <d v="2024-06-12T00:00:00"/>
        <d v="2024-05-22T00:00:00"/>
        <d v="2024-12-15T00:00:00"/>
        <d v="2024-03-04T00:00:00"/>
        <d v="2022-11-09T00:00:00"/>
        <d v="2024-04-13T00:00:00"/>
        <d v="2024-08-12T00:00:00"/>
        <d v="2022-09-07T00:00:00"/>
        <d v="2022-04-08T00:00:00"/>
        <d v="2022-10-22T00:00:00"/>
        <d v="2022-06-28T00:00:00"/>
        <d v="2022-05-25T00:00:00"/>
        <d v="2023-05-09T00:00:00"/>
        <d v="2023-01-26T00:00:00"/>
        <d v="2022-08-03T00:00:00"/>
        <d v="2022-05-02T00:00:00"/>
        <d v="2022-10-24T00:00:00"/>
        <d v="2022-02-01T00:00:00"/>
        <d v="2022-03-03T00:00:00"/>
        <d v="2024-09-23T00:00:00"/>
        <d v="2022-09-09T00:00:00"/>
        <d v="2023-06-05T00:00:00"/>
        <d v="2024-10-07T00:00:00"/>
        <d v="2023-01-27T00:00:00"/>
        <d v="2024-09-06T00:00:00"/>
        <d v="2022-07-20T00:00:00"/>
        <d v="2023-11-13T00:00:00"/>
        <d v="2022-12-23T00:00:00"/>
        <d v="2024-11-13T00:00:00"/>
        <d v="2022-10-06T00:00:00"/>
        <d v="2022-06-12T00:00:00"/>
        <d v="2023-10-14T00:00:00"/>
        <d v="2022-06-26T00:00:00"/>
        <d v="2024-12-05T00:00:00"/>
        <d v="2023-08-10T00:00:00"/>
        <d v="2024-11-21T00:00:00"/>
        <d v="2022-05-08T00:00:00"/>
        <d v="2024-10-13T00:00:00"/>
        <d v="2023-11-27T00:00:00"/>
        <d v="2023-01-12T00:00:00"/>
        <d v="2024-08-22T00:00:00"/>
        <d v="2023-11-21T00:00:00"/>
        <d v="2022-02-02T00:00:00"/>
        <d v="2024-03-09T00:00:00"/>
        <d v="2024-06-15T00:00:00"/>
        <d v="2023-11-01T00:00:00"/>
        <d v="2022-02-23T00:00:00"/>
        <d v="2024-10-24T00:00:00"/>
        <d v="2023-05-27T00:00:00"/>
        <d v="2024-06-05T00:00:00"/>
        <d v="2023-12-27T00:00:00"/>
        <d v="2024-12-20T00:00:00"/>
        <d v="2024-03-14T00:00:00"/>
        <d v="2023-05-02T00:00:00"/>
        <d v="2022-11-10T00:00:00"/>
        <d v="2023-03-05T00:00:00"/>
        <d v="2022-05-09T00:00:00"/>
        <d v="2023-06-01T00:00:00"/>
        <d v="2024-03-02T00:00:00"/>
        <d v="2024-02-26T00:00:00"/>
        <d v="2022-02-03T00:00:00"/>
        <d v="2023-01-01T00:00:00"/>
        <d v="2024-11-07T00:00:00"/>
        <d v="2023-08-27T00:00:00"/>
        <d v="2022-06-15T00:00:00"/>
        <d v="2023-10-17T00:00:00"/>
        <d v="2022-10-03T00:00:00"/>
        <d v="2022-12-13T00:00:00"/>
        <d v="2022-07-15T00:00:00"/>
        <d v="2024-05-05T00:00:00"/>
        <d v="2022-12-17T00:00:00"/>
        <d v="2022-05-14T00:00:00"/>
        <d v="2022-03-20T00:00:00"/>
        <d v="2023-12-07T00:00:00"/>
        <d v="2024-06-16T00:00:00"/>
        <d v="2022-08-20T00:00:00"/>
        <d v="2023-04-26T00:00:00"/>
        <d v="2024-05-27T00:00:00"/>
        <d v="2022-09-19T00:00:00"/>
        <d v="2023-07-19T00:00:00"/>
        <d v="2024-12-02T00:00:00"/>
        <d v="2023-12-01T00:00:00"/>
        <d v="2022-09-02T00:00:00"/>
        <d v="2024-10-18T00:00:00"/>
        <d v="2024-11-10T00:00:00"/>
        <d v="2024-08-27T00:00:00"/>
        <d v="2024-04-10T00:00:00"/>
        <d v="2023-04-09T00:00:00"/>
        <d v="2022-12-24T00:00:00"/>
        <d v="2023-06-17T00:00:00"/>
        <d v="2024-11-17T00:00:00"/>
        <d v="2024-06-23T00:00:00"/>
        <d v="2022-07-11T00:00:00"/>
        <d v="2022-11-07T00:00:00"/>
        <d v="2023-07-14T00:00:00"/>
        <d v="2024-07-13T00:00:00"/>
        <d v="2022-11-19T00:00:00"/>
        <d v="2024-07-12T00:00:00"/>
        <d v="2022-10-13T00:00:00"/>
        <d v="2023-06-28T00:00:00"/>
        <d v="2022-05-19T00:00:00"/>
        <d v="2023-04-21T00:00:00"/>
        <d v="2024-03-06T00:00:00"/>
        <d v="2024-11-09T00:00:00"/>
        <d v="2023-10-19T00:00:00"/>
        <d v="2023-07-27T00:00:00"/>
        <d v="2022-02-26T00:00:00"/>
        <d v="2022-09-04T00:00:00"/>
        <d v="2024-06-10T00:00:00"/>
        <d v="2024-04-21T00:00:00"/>
        <d v="2024-01-28T00:00:00"/>
        <d v="2024-12-14T00:00:00"/>
        <d v="2024-08-02T00:00:00"/>
        <d v="2023-02-28T00:00:00"/>
        <d v="2024-04-14T00:00:00"/>
        <d v="2024-06-13T00:00:00"/>
        <d v="2024-03-01T00:00:00"/>
        <d v="2023-10-12T00:00:00"/>
        <d v="2024-07-23T00:00:00"/>
        <d v="2023-01-03T00:00:00"/>
        <d v="2023-05-14T00:00:00"/>
        <d v="2023-01-13T00:00:00"/>
        <d v="2023-03-14T00:00:00"/>
        <d v="2022-01-28T00:00:00"/>
        <d v="2022-04-27T00:00:00"/>
        <d v="2022-06-20T00:00:00"/>
        <d v="2024-03-08T00:00:00"/>
        <d v="2023-04-16T00:00:00"/>
        <d v="2022-05-12T00:00:00"/>
        <d v="2023-04-12T00:00:00"/>
        <d v="2024-09-22T00:00:00"/>
        <d v="2022-06-19T00:00:00"/>
        <d v="2024-10-21T00:00:00"/>
        <d v="2024-07-26T00:00:00"/>
        <d v="2023-12-11T00:00:00"/>
        <d v="2024-08-04T00:00:00"/>
        <d v="2024-03-25T00:00:00"/>
        <d v="2024-10-12T00:00:00"/>
        <d v="2024-02-17T00:00:00"/>
        <d v="2023-04-28T00:00:00"/>
        <d v="2023-05-12T00:00:00"/>
        <d v="2023-10-27T00:00:00"/>
        <d v="2023-11-22T00:00:00"/>
        <d v="2022-04-09T00:00:00"/>
        <d v="2022-12-21T00:00:00"/>
        <d v="2024-06-27T00:00:00"/>
        <d v="2022-02-09T00:00:00"/>
        <d v="2022-04-16T00:00:00"/>
        <d v="2022-08-28T00:00:00"/>
        <d v="2022-01-12T00:00:00"/>
        <d v="2024-01-22T00:00:00"/>
        <d v="2022-03-07T00:00:00"/>
        <d v="2023-08-19T00:00:00"/>
        <d v="2022-11-04T00:00:00"/>
        <d v="2023-06-07T00:00:00"/>
        <d v="2022-03-10T00:00:00"/>
        <d v="2024-02-22T00:00:00"/>
        <d v="2023-05-28T00:00:00"/>
        <d v="2023-08-02T00:00:00"/>
        <d v="2024-12-25T00:00:00"/>
        <d v="2024-05-11T00:00:00"/>
        <d v="2022-07-07T00:00:00"/>
        <d v="2022-10-20T00:00:00"/>
        <d v="2022-10-05T00:00:00"/>
        <d v="2023-07-28T00:00:00"/>
        <d v="2023-04-05T00:00:00"/>
        <d v="2024-02-16T00:00:00"/>
        <d v="2022-03-09T00:00:00"/>
        <d v="2023-10-18T00:00:00"/>
        <d v="2024-02-19T00:00:00"/>
        <d v="2023-09-20T00:00:00"/>
        <d v="2023-10-09T00:00:00"/>
        <d v="2022-04-23T00:00:00"/>
        <d v="2022-06-01T00:00:00"/>
        <d v="2022-07-09T00:00:00"/>
        <d v="2022-08-25T00:00:00"/>
        <d v="2024-08-19T00:00:00"/>
        <d v="2023-04-19T00:00:00"/>
        <d v="2022-04-06T00:00:00"/>
        <d v="2024-03-15T00:00:00"/>
        <d v="2023-03-04T00:00:00"/>
        <d v="2023-04-27T00:00:00"/>
        <d v="2022-04-19T00:00:00"/>
        <d v="2023-01-05T00:00:00"/>
        <d v="2024-08-11T00:00:00"/>
        <d v="2023-03-23T00:00:00"/>
        <d v="2022-02-06T00:00:00"/>
        <d v="2023-07-23T00:00:00"/>
        <d v="2023-12-05T00:00:00"/>
        <d v="2024-08-18T00:00:00"/>
        <d v="2022-12-18T00:00:00"/>
        <d v="2024-08-01T00:00:00"/>
        <d v="2022-01-24T00:00:00"/>
        <d v="2023-02-24T00:00:00"/>
        <d v="2023-03-03T00:00:00"/>
        <d v="2023-01-16T00:00:00"/>
        <d v="2022-01-05T00:00:00"/>
        <d v="2024-05-16T00:00:00"/>
        <d v="2024-03-10T00:00:00"/>
        <d v="2024-12-28T00:00:00"/>
        <d v="2022-12-07T00:00:00"/>
        <d v="2022-01-21T00:00:00"/>
        <d v="2024-05-17T00:00:00"/>
        <d v="2022-11-26T00:00:00"/>
        <d v="2023-05-15T00:00:00"/>
        <d v="2024-09-13T00:00:00"/>
        <d v="2024-05-23T00:00:00"/>
        <d v="2024-09-02T00:00:00"/>
        <d v="2023-07-02T00:00:00"/>
        <d v="2022-02-15T00:00:00"/>
        <d v="2022-12-22T00:00:00"/>
        <d v="2023-12-14T00:00:00"/>
        <d v="2023-09-22T00:00:00"/>
        <d v="2022-01-19T00:00:00"/>
        <d v="2022-07-22T00:00:00"/>
        <d v="2024-10-27T00:00:00"/>
        <d v="2024-12-22T00:00:00"/>
        <d v="2024-02-04T00:00:00"/>
        <d v="2022-02-25T00:00:00"/>
        <d v="2023-05-01T00:00:00"/>
        <d v="2024-07-03T00:00:00"/>
        <d v="2024-05-08T00:00:00"/>
        <d v="2022-04-01T00:00:00"/>
        <d v="2024-06-14T00:00:00"/>
        <d v="2023-10-24T00:00:00"/>
        <d v="2022-08-26T00:00:00"/>
        <d v="2024-03-23T00:00:00"/>
        <d v="2023-08-26T00:00:00"/>
        <d v="2022-08-05T00:00:00"/>
        <d v="2023-09-04T00:00:00"/>
        <d v="2022-08-15T00:00:00"/>
        <d v="2022-09-28T00:00:00"/>
        <d v="2024-02-18T00:00:00"/>
        <d v="2022-08-10T00:00:00"/>
        <d v="2023-09-25T00:00:00"/>
        <d v="2022-02-12T00:00:00"/>
        <d v="2024-11-06T00:00:00"/>
        <d v="2024-10-20T00:00:00"/>
        <d v="2024-12-12T00:00:00"/>
        <d v="2024-03-13T00:00:00"/>
        <d v="2023-09-02T00:00:00"/>
        <d v="2022-10-09T00:00:00"/>
        <d v="2023-06-22T00:00:00"/>
        <d v="2022-11-17T00:00:00"/>
        <d v="2022-06-16T00:00:00"/>
        <d v="2024-08-21T00:00:00"/>
        <d v="2022-01-25T00:00:00"/>
        <d v="2024-03-17T00:00:00"/>
        <d v="2023-10-05T00:00:00"/>
        <d v="2022-09-23T00:00:00"/>
        <d v="2024-02-11T00:00:00"/>
        <d v="2024-04-06T00:00:00"/>
        <d v="2023-05-11T00:00:00"/>
        <d v="2022-03-14T00:00:00"/>
        <d v="2022-04-20T00:00:00"/>
        <d v="2023-09-07T00:00:00"/>
        <d v="2023-02-05T00:00:00"/>
        <d v="2023-06-18T00:00:00"/>
        <d v="2024-08-14T00:00:00"/>
        <d v="2024-03-03T00:00:00"/>
        <d v="2024-09-05T00:00:00"/>
        <d v="2023-10-20T00:00:00"/>
        <d v="2024-08-13T00:00:00"/>
        <d v="2024-12-24T00:00:00"/>
        <d v="2023-10-11T00:00:00"/>
        <d v="2022-05-20T00:00:00"/>
        <d v="2024-04-03T00:00:00"/>
        <d v="2024-05-01T00:00:00"/>
        <d v="2022-11-01T00:00:00"/>
        <d v="2024-10-09T00:00:00"/>
        <d v="2023-08-04T00:00:00"/>
        <d v="2022-08-16T00:00:00"/>
        <d v="2024-01-13T00:00:00"/>
        <d v="2022-11-16T00:00:00"/>
        <d v="2023-04-08T00:00:00"/>
        <d v="2023-05-24T00:00:00"/>
        <d v="2023-08-17T00:00:00"/>
        <d v="2022-01-16T00:00:00"/>
        <d v="2022-11-23T00:00:00"/>
        <d v="2024-10-08T00:00:00"/>
        <d v="2024-11-08T00:00:00"/>
        <d v="2022-12-26T00:00:00"/>
        <d v="2023-03-20T00:00:00"/>
        <d v="2023-12-24T00:00:00"/>
        <d v="2024-09-27T00:00:00"/>
        <d v="2022-03-06T00:00:00"/>
        <d v="2022-10-12T00:00:00"/>
        <d v="2024-01-15T00:00:00"/>
        <d v="2024-10-16T00:00:00"/>
        <d v="2024-06-18T00:00:00"/>
        <d v="2022-10-17T00:00:00"/>
        <d v="2024-06-01T00:00:00"/>
        <d v="2024-04-19T00:00:00"/>
        <d v="2022-09-16T00:00:00"/>
        <d v="2022-04-02T00:00:00"/>
        <d v="2024-02-21T00:00:00"/>
        <d v="2022-04-22T00:00:00"/>
        <d v="2022-06-14T00:00:00"/>
        <d v="2024-05-20T00:00:00"/>
        <d v="2022-10-11T00:00:00"/>
        <d v="2023-12-18T00:00:00"/>
        <d v="2022-12-20T00:00:00"/>
        <d v="2022-01-06T00:00:00"/>
        <d v="2024-07-09T00:00:00"/>
        <d v="2024-06-07T00:00:00"/>
        <d v="2022-02-27T00:00:00"/>
        <d v="2023-11-08T00:00:00"/>
        <d v="2023-09-23T00:00:00"/>
        <d v="2024-03-21T00:00:00"/>
        <d v="2022-07-05T00:00:00"/>
        <d v="2023-09-10T00:00:00"/>
        <d v="2023-09-12T00:00:00"/>
        <d v="2022-09-03T00:00:00"/>
        <d v="2022-04-28T00:00:00"/>
        <d v="2022-09-21T00:00:00"/>
        <d v="2022-11-12T00:00:00"/>
        <d v="2022-01-08T00:00:00"/>
        <d v="2022-06-25T00:00:00"/>
        <d v="2024-07-21T00:00:00"/>
        <d v="2022-08-24T00:00:00"/>
        <d v="2023-12-26T00:00:00"/>
        <d v="2024-07-14T00:00:00"/>
        <d v="2023-05-23T00:00:00"/>
        <d v="2022-05-28T00:00:00"/>
        <d v="2023-02-08T00:00:00"/>
        <d v="2023-06-14T00:00:00"/>
        <d v="2023-02-18T00:00:00"/>
        <d v="2023-01-25T00:00:00"/>
        <d v="2023-10-26T00:00:00"/>
        <d v="2024-09-24T00:00:00"/>
        <d v="2024-12-09T00:00:00"/>
        <d v="2023-10-16T00:00:00"/>
        <d v="2023-12-04T00:00:00"/>
        <d v="2023-09-17T00:00:00"/>
        <d v="2022-07-16T00:00:00"/>
        <d v="2024-04-23T00:00:00"/>
        <d v="2022-07-13T00:00:00"/>
        <d v="2023-10-08T00:00:00"/>
        <d v="2022-02-24T00:00:00"/>
        <d v="2024-01-17T00:00:00"/>
        <d v="2022-12-02T00:00:00"/>
        <d v="2022-12-27T00:00:00"/>
        <d v="2023-01-24T00:00:00"/>
        <d v="2023-11-23T00:00:00"/>
        <d v="2022-07-06T00:00:00"/>
        <d v="2023-06-10T00:00:00"/>
        <d v="2023-12-21T00:00:00"/>
        <d v="2022-02-16T00:00:00"/>
        <d v="2023-03-15T00:00:00"/>
        <d v="2023-07-09T00:00:00"/>
        <d v="2023-07-01T00:00:00"/>
        <d v="2024-12-21T00:00:00"/>
        <d v="2024-11-18T00:00:00"/>
        <d v="2022-04-04T00:00:00"/>
        <d v="2024-10-14T00:00:00"/>
        <d v="2023-05-16T00:00:00"/>
        <d v="2024-11-22T00:00:00"/>
        <d v="2022-03-28T00:00:00"/>
        <d v="2024-08-26T00:00:00"/>
        <d v="2022-11-14T00:00:00"/>
        <d v="2022-07-25T00:00:00"/>
        <d v="2023-09-21T00:00:00"/>
        <d v="2024-12-18T00:00:00"/>
        <d v="2023-02-12T00:00:00"/>
        <d v="2024-01-24T00:00:00"/>
        <d v="2023-10-07T00:00:00"/>
        <d v="2022-04-14T00:00:00"/>
        <d v="2022-01-10T00:00:00"/>
        <d v="2022-09-24T00:00:00"/>
        <d v="2024-08-20T00:00:00"/>
        <d v="2024-10-11T00:00:00"/>
        <d v="2024-07-28T00:00:00"/>
        <d v="2023-09-01T00:00:00"/>
        <d v="2023-03-07T00:00:00"/>
        <d v="2024-12-06T00:00:00"/>
        <d v="2022-01-17T00:00:00"/>
        <d v="2024-09-12T00:00:00"/>
        <d v="2023-06-16T00:00:00"/>
        <d v="2022-01-23T00:00:00"/>
        <d v="2023-08-15T00:00:00"/>
        <d v="2023-01-23T00:00:00"/>
        <d v="2024-05-19T00:00:00"/>
        <d v="2022-08-13T00:00:00"/>
        <d v="2022-10-01T00:00:00"/>
        <d v="2024-07-08T00:00:00"/>
        <d v="2023-11-07T00:00:00"/>
        <d v="2024-01-04T00:00:00"/>
        <d v="2023-06-08T00:00:00"/>
        <d v="2023-11-06T00:00:00"/>
        <d v="2023-04-25T00:00:00"/>
        <d v="2023-05-20T00:00:00"/>
        <d v="2023-11-09T00:00:00"/>
        <d v="2023-01-11T00:00:00"/>
        <d v="2023-04-24T00:00:00"/>
        <d v="2022-07-18T00:00:00"/>
        <d v="2022-08-14T00:00:00"/>
        <d v="2024-01-01T00:00:00"/>
        <d v="2024-09-01T00:00:00"/>
        <d v="2023-11-20T00:00:00"/>
        <d v="2022-05-24T00:00:00"/>
        <d v="2022-12-01T00:00:00"/>
        <d v="2024-08-16T00:00:00"/>
        <d v="2023-01-07T00:00:00"/>
        <d v="2023-01-10T00:00:00"/>
        <d v="2022-07-03T00:00:00"/>
        <d v="2022-04-26T00:00:00"/>
        <d v="2024-03-27T00:00:00"/>
        <d v="2024-06-03T00:00:00"/>
        <d v="2022-09-15T00:00:00"/>
        <d v="2024-02-27T00:00:00"/>
        <d v="2022-05-06T00:00:00"/>
        <d v="2023-06-09T00:00:00"/>
        <d v="2022-07-14T00:00:00"/>
        <d v="2024-01-18T00:00:00"/>
        <d v="2024-01-06T00:00:00"/>
        <d v="2023-03-25T00:00:00"/>
        <d v="2024-07-05T00:00:00"/>
        <d v="2022-03-11T00:00:00"/>
        <d v="2023-03-19T00:00:00"/>
        <d v="2024-09-11T00:00:00"/>
        <d v="2023-12-12T00:00:00"/>
        <d v="2022-06-09T00:00:00"/>
        <d v="2024-12-08T00:00:00"/>
        <d v="2022-01-22T00:00:00"/>
        <d v="2024-11-12T00:00:00"/>
        <d v="2022-04-21T00:00:00"/>
        <d v="2024-03-16T00:00:00"/>
        <d v="2024-11-26T00:00:00"/>
        <d v="2022-06-02T00:00:00"/>
      </sharedItems>
      <fieldGroup par="16"/>
    </cacheField>
    <cacheField name="Year" numFmtId="0">
      <sharedItems containsSemiMixedTypes="0" containsString="0" containsNumber="1" containsInteger="1" minValue="2022" maxValue="2024"/>
    </cacheField>
    <cacheField name="State" numFmtId="0">
      <sharedItems count="10">
        <s v="Tamil Nadu"/>
        <s v="Telangana"/>
        <s v="Uttar Pradesh"/>
        <s v="Gujarat"/>
        <s v="Delhi"/>
        <s v="Maharashtra"/>
        <s v="Karnataka"/>
        <s v="Punjab"/>
        <s v="West Bengal"/>
        <s v="Rajasthan"/>
      </sharedItems>
    </cacheField>
    <cacheField name="City" numFmtId="0">
      <sharedItems/>
    </cacheField>
    <cacheField name="Product" numFmtId="0">
      <sharedItems count="24">
        <s v="Tomato"/>
        <s v="Milk"/>
        <s v="Wheat Flour"/>
        <s v="Biscuits"/>
        <s v="Potato"/>
        <s v="Banana"/>
        <s v="Tea"/>
        <s v="Curd"/>
        <s v="Chocolate"/>
        <s v="Cheese"/>
        <s v="Orange"/>
        <s v="Namkeen"/>
        <s v="Salt"/>
        <s v="Coffee"/>
        <s v="Onion"/>
        <s v="Butter"/>
        <s v="Soda"/>
        <s v="Spinach"/>
        <s v="Apple"/>
        <s v="Sugar"/>
        <s v="Rice"/>
        <s v="Juice"/>
        <s v="Grapes"/>
        <s v="Chips"/>
      </sharedItems>
    </cacheField>
    <cacheField name="Category" numFmtId="0">
      <sharedItems count="6">
        <s v="Vegetables"/>
        <s v="Dairy"/>
        <s v="Groceries"/>
        <s v="Snacks"/>
        <s v="Fruits"/>
        <s v="Beverages"/>
      </sharedItems>
    </cacheField>
    <cacheField name="Units Sold" numFmtId="0">
      <sharedItems containsSemiMixedTypes="0" containsString="0" containsNumber="1" containsInteger="1" minValue="1" maxValue="20"/>
    </cacheField>
    <cacheField name="Unit Price" numFmtId="0">
      <sharedItems containsSemiMixedTypes="0" containsString="0" containsNumber="1" minValue="20.66" maxValue="199.65"/>
    </cacheField>
    <cacheField name="Total Sales" numFmtId="0">
      <sharedItems containsSemiMixedTypes="0" containsString="0" containsNumber="1" minValue="28.11" maxValue="3955.6"/>
    </cacheField>
    <cacheField name="Cost Price" numFmtId="0">
      <sharedItems containsSemiMixedTypes="0" containsString="0" containsNumber="1" minValue="12.72" maxValue="175.56"/>
    </cacheField>
    <cacheField name="Profit" numFmtId="0">
      <sharedItems containsSemiMixedTypes="0" containsString="0" containsNumber="1" minValue="6.43" maxValue="1296.76"/>
    </cacheField>
    <cacheField name="Customer Type" numFmtId="0">
      <sharedItems/>
    </cacheField>
    <cacheField name="Payment Method" numFmtId="0">
      <sharedItems/>
    </cacheField>
    <cacheField name="Months (Order Date)" numFmtId="0" databaseField="0">
      <fieldGroup base="1">
        <rangePr groupBy="months" startDate="2022-01-05T00:00:00" endDate="2024-12-29T00:00:00"/>
        <groupItems count="14">
          <s v="&lt;05-01-2022"/>
          <s v="Jan"/>
          <s v="Feb"/>
          <s v="Mar"/>
          <s v="Apr"/>
          <s v="May"/>
          <s v="Jun"/>
          <s v="Jul"/>
          <s v="Aug"/>
          <s v="Sep"/>
          <s v="Oct"/>
          <s v="Nov"/>
          <s v="Dec"/>
          <s v="&gt;29-12-2024"/>
        </groupItems>
      </fieldGroup>
    </cacheField>
    <cacheField name="Quarters (Order Date)" numFmtId="0" databaseField="0">
      <fieldGroup base="1">
        <rangePr groupBy="quarters" startDate="2022-01-05T00:00:00" endDate="2024-12-29T00:00:00"/>
        <groupItems count="6">
          <s v="&lt;05-01-2022"/>
          <s v="Qtr1"/>
          <s v="Qtr2"/>
          <s v="Qtr3"/>
          <s v="Qtr4"/>
          <s v="&gt;29-12-2024"/>
        </groupItems>
      </fieldGroup>
    </cacheField>
    <cacheField name="Years (Order Date)" numFmtId="0" databaseField="0">
      <fieldGroup base="1">
        <rangePr groupBy="years" startDate="2022-01-05T00:00:00" endDate="2024-12-29T00:00:00"/>
        <groupItems count="5">
          <s v="&lt;05-01-2022"/>
          <s v="2022"/>
          <s v="2023"/>
          <s v="2024"/>
          <s v="&gt;29-12-2024"/>
        </groupItems>
      </fieldGroup>
    </cacheField>
  </cacheFields>
  <extLst>
    <ext xmlns:x14="http://schemas.microsoft.com/office/spreadsheetml/2009/9/main" uri="{725AE2AE-9491-48be-B2B4-4EB974FC3084}">
      <x14:pivotCacheDefinition pivotCacheId="12910514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n v="2022"/>
    <x v="0"/>
    <s v="Coimbatore"/>
    <x v="0"/>
    <x v="0"/>
    <n v="1"/>
    <n v="32.49"/>
    <n v="32.49"/>
    <n v="24.99"/>
    <n v="7.5"/>
    <s v="Returning"/>
    <s v="UPI"/>
  </r>
  <r>
    <x v="1"/>
    <x v="1"/>
    <n v="2022"/>
    <x v="1"/>
    <s v="Warangal"/>
    <x v="1"/>
    <x v="1"/>
    <n v="7"/>
    <n v="70.760000000000005"/>
    <n v="495.32"/>
    <n v="48.01"/>
    <n v="159.25"/>
    <s v="Returning"/>
    <s v="UPI"/>
  </r>
  <r>
    <x v="2"/>
    <x v="2"/>
    <n v="2023"/>
    <x v="2"/>
    <s v="Lucknow"/>
    <x v="1"/>
    <x v="1"/>
    <n v="15"/>
    <n v="125"/>
    <n v="1875"/>
    <n v="110.32"/>
    <n v="220.2"/>
    <s v="New"/>
    <s v="Cash on Delivery"/>
  </r>
  <r>
    <x v="3"/>
    <x v="3"/>
    <n v="2023"/>
    <x v="3"/>
    <s v="Surat"/>
    <x v="1"/>
    <x v="1"/>
    <n v="3"/>
    <n v="42.26"/>
    <n v="126.78"/>
    <n v="31.51"/>
    <n v="32.25"/>
    <s v="Returning"/>
    <s v="Debit Card"/>
  </r>
  <r>
    <x v="4"/>
    <x v="4"/>
    <n v="2023"/>
    <x v="1"/>
    <s v="Hyderabad"/>
    <x v="2"/>
    <x v="2"/>
    <n v="1"/>
    <n v="139.16999999999999"/>
    <n v="139.16999999999999"/>
    <n v="91.63"/>
    <n v="47.54"/>
    <s v="Returning"/>
    <s v="Cash on Delivery"/>
  </r>
  <r>
    <x v="5"/>
    <x v="5"/>
    <n v="2022"/>
    <x v="1"/>
    <s v="Warangal"/>
    <x v="3"/>
    <x v="3"/>
    <n v="1"/>
    <n v="117.14"/>
    <n v="117.14"/>
    <n v="75.099999999999994"/>
    <n v="42.04"/>
    <s v="New"/>
    <s v="Credit Card"/>
  </r>
  <r>
    <x v="6"/>
    <x v="6"/>
    <n v="2023"/>
    <x v="4"/>
    <s v="New Delhi"/>
    <x v="0"/>
    <x v="0"/>
    <n v="16"/>
    <n v="185.58"/>
    <n v="2969.28"/>
    <n v="117.43"/>
    <n v="1090.4000000000001"/>
    <s v="Returning"/>
    <s v="Cash on Delivery"/>
  </r>
  <r>
    <x v="7"/>
    <x v="7"/>
    <n v="2022"/>
    <x v="0"/>
    <s v="Chennai"/>
    <x v="4"/>
    <x v="0"/>
    <n v="5"/>
    <n v="48.37"/>
    <n v="241.85"/>
    <n v="36.5"/>
    <n v="59.35"/>
    <s v="Regular"/>
    <s v="Debit Card"/>
  </r>
  <r>
    <x v="8"/>
    <x v="8"/>
    <n v="2024"/>
    <x v="5"/>
    <s v="Nagpur"/>
    <x v="5"/>
    <x v="4"/>
    <n v="20"/>
    <n v="104.73"/>
    <n v="2094.6"/>
    <n v="74.599999999999994"/>
    <n v="602.6"/>
    <s v="New"/>
    <s v="Debit Card"/>
  </r>
  <r>
    <x v="9"/>
    <x v="9"/>
    <n v="2024"/>
    <x v="3"/>
    <s v="Surat"/>
    <x v="6"/>
    <x v="5"/>
    <n v="1"/>
    <n v="113.87"/>
    <n v="113.87"/>
    <n v="86.73"/>
    <n v="27.14"/>
    <s v="Returning"/>
    <s v="Cash on Delivery"/>
  </r>
  <r>
    <x v="10"/>
    <x v="10"/>
    <n v="2022"/>
    <x v="6"/>
    <s v="Bangalore"/>
    <x v="3"/>
    <x v="3"/>
    <n v="3"/>
    <n v="90.8"/>
    <n v="272.39999999999998"/>
    <n v="76"/>
    <n v="44.4"/>
    <s v="New"/>
    <s v="Debit Card"/>
  </r>
  <r>
    <x v="11"/>
    <x v="11"/>
    <n v="2022"/>
    <x v="5"/>
    <s v="Nagpur"/>
    <x v="7"/>
    <x v="1"/>
    <n v="8"/>
    <n v="182.85"/>
    <n v="1462.8"/>
    <n v="150.81"/>
    <n v="256.32"/>
    <s v="Regular"/>
    <s v="Debit Card"/>
  </r>
  <r>
    <x v="12"/>
    <x v="12"/>
    <n v="2024"/>
    <x v="7"/>
    <s v="Ludhiana"/>
    <x v="1"/>
    <x v="1"/>
    <n v="18"/>
    <n v="198.04"/>
    <n v="3564.72"/>
    <n v="162.16"/>
    <n v="645.84"/>
    <s v="New"/>
    <s v="UPI"/>
  </r>
  <r>
    <x v="13"/>
    <x v="13"/>
    <n v="2023"/>
    <x v="5"/>
    <s v="Nagpur"/>
    <x v="8"/>
    <x v="3"/>
    <n v="6"/>
    <n v="22.3"/>
    <n v="133.80000000000001"/>
    <n v="16.8"/>
    <n v="33"/>
    <s v="Regular"/>
    <s v="UPI"/>
  </r>
  <r>
    <x v="14"/>
    <x v="14"/>
    <n v="2022"/>
    <x v="3"/>
    <s v="Ahmedabad"/>
    <x v="1"/>
    <x v="1"/>
    <n v="20"/>
    <n v="179.47"/>
    <n v="3589.4"/>
    <n v="146.52000000000001"/>
    <n v="659"/>
    <s v="Regular"/>
    <s v="Credit Card"/>
  </r>
  <r>
    <x v="15"/>
    <x v="15"/>
    <n v="2023"/>
    <x v="6"/>
    <s v="Bangalore"/>
    <x v="9"/>
    <x v="1"/>
    <n v="11"/>
    <n v="38.090000000000003"/>
    <n v="418.99"/>
    <n v="26.89"/>
    <n v="123.2"/>
    <s v="Regular"/>
    <s v="Credit Card"/>
  </r>
  <r>
    <x v="16"/>
    <x v="16"/>
    <n v="2024"/>
    <x v="0"/>
    <s v="Coimbatore"/>
    <x v="10"/>
    <x v="4"/>
    <n v="7"/>
    <n v="70.8"/>
    <n v="495.6"/>
    <n v="52.77"/>
    <n v="126.21"/>
    <s v="New"/>
    <s v="Credit Card"/>
  </r>
  <r>
    <x v="17"/>
    <x v="17"/>
    <n v="2023"/>
    <x v="0"/>
    <s v="Coimbatore"/>
    <x v="11"/>
    <x v="3"/>
    <n v="12"/>
    <n v="119.18"/>
    <n v="1430.16"/>
    <n v="94.13"/>
    <n v="300.60000000000002"/>
    <s v="New"/>
    <s v="Credit Card"/>
  </r>
  <r>
    <x v="18"/>
    <x v="18"/>
    <n v="2024"/>
    <x v="4"/>
    <s v="New Delhi"/>
    <x v="12"/>
    <x v="2"/>
    <n v="13"/>
    <n v="109.22"/>
    <n v="1419.86"/>
    <n v="66.63"/>
    <n v="553.66999999999996"/>
    <s v="Regular"/>
    <s v="Debit Card"/>
  </r>
  <r>
    <x v="19"/>
    <x v="19"/>
    <n v="2024"/>
    <x v="3"/>
    <s v="Surat"/>
    <x v="13"/>
    <x v="5"/>
    <n v="18"/>
    <n v="154.08000000000001"/>
    <n v="2773.44"/>
    <n v="106.42"/>
    <n v="857.88"/>
    <s v="Returning"/>
    <s v="Cash on Delivery"/>
  </r>
  <r>
    <x v="20"/>
    <x v="20"/>
    <n v="2022"/>
    <x v="2"/>
    <s v="Noida"/>
    <x v="10"/>
    <x v="4"/>
    <n v="20"/>
    <n v="129.22999999999999"/>
    <n v="2584.6"/>
    <n v="107.45"/>
    <n v="435.6"/>
    <s v="Regular"/>
    <s v="UPI"/>
  </r>
  <r>
    <x v="21"/>
    <x v="21"/>
    <n v="2022"/>
    <x v="8"/>
    <s v="Kolkata"/>
    <x v="8"/>
    <x v="3"/>
    <n v="7"/>
    <n v="75.489999999999995"/>
    <n v="528.42999999999995"/>
    <n v="64.91"/>
    <n v="74.06"/>
    <s v="New"/>
    <s v="Credit Card"/>
  </r>
  <r>
    <x v="22"/>
    <x v="22"/>
    <n v="2022"/>
    <x v="7"/>
    <s v="Ludhiana"/>
    <x v="14"/>
    <x v="0"/>
    <n v="20"/>
    <n v="135.22"/>
    <n v="2704.4"/>
    <n v="102.07"/>
    <n v="663"/>
    <s v="Regular"/>
    <s v="UPI"/>
  </r>
  <r>
    <x v="23"/>
    <x v="23"/>
    <n v="2022"/>
    <x v="2"/>
    <s v="Lucknow"/>
    <x v="1"/>
    <x v="1"/>
    <n v="20"/>
    <n v="158.69"/>
    <n v="3173.8"/>
    <n v="122.51"/>
    <n v="723.6"/>
    <s v="Regular"/>
    <s v="Debit Card"/>
  </r>
  <r>
    <x v="24"/>
    <x v="24"/>
    <n v="2023"/>
    <x v="9"/>
    <s v="Jaipur"/>
    <x v="12"/>
    <x v="2"/>
    <n v="9"/>
    <n v="115.73"/>
    <n v="1041.57"/>
    <n v="102.23"/>
    <n v="121.5"/>
    <s v="Regular"/>
    <s v="Cash on Delivery"/>
  </r>
  <r>
    <x v="25"/>
    <x v="25"/>
    <n v="2023"/>
    <x v="8"/>
    <s v="Howrah"/>
    <x v="15"/>
    <x v="1"/>
    <n v="6"/>
    <n v="105.61"/>
    <n v="633.66"/>
    <n v="69.72"/>
    <n v="215.34"/>
    <s v="Returning"/>
    <s v="Credit Card"/>
  </r>
  <r>
    <x v="26"/>
    <x v="26"/>
    <n v="2023"/>
    <x v="7"/>
    <s v="Ludhiana"/>
    <x v="11"/>
    <x v="3"/>
    <n v="10"/>
    <n v="107.11"/>
    <n v="1071.0999999999999"/>
    <n v="87.17"/>
    <n v="199.4"/>
    <s v="Regular"/>
    <s v="UPI"/>
  </r>
  <r>
    <x v="27"/>
    <x v="27"/>
    <n v="2024"/>
    <x v="0"/>
    <s v="Coimbatore"/>
    <x v="16"/>
    <x v="5"/>
    <n v="12"/>
    <n v="30.52"/>
    <n v="366.24"/>
    <n v="23.39"/>
    <n v="85.56"/>
    <s v="Regular"/>
    <s v="Credit Card"/>
  </r>
  <r>
    <x v="28"/>
    <x v="28"/>
    <n v="2024"/>
    <x v="7"/>
    <s v="Ludhiana"/>
    <x v="17"/>
    <x v="0"/>
    <n v="13"/>
    <n v="188.99"/>
    <n v="2456.87"/>
    <n v="167.44"/>
    <n v="280.14999999999998"/>
    <s v="New"/>
    <s v="Credit Card"/>
  </r>
  <r>
    <x v="29"/>
    <x v="29"/>
    <n v="2024"/>
    <x v="5"/>
    <s v="Mumbai"/>
    <x v="5"/>
    <x v="4"/>
    <n v="12"/>
    <n v="85.67"/>
    <n v="1028.04"/>
    <n v="60.57"/>
    <n v="301.2"/>
    <s v="New"/>
    <s v="Credit Card"/>
  </r>
  <r>
    <x v="30"/>
    <x v="30"/>
    <n v="2022"/>
    <x v="0"/>
    <s v="Chennai"/>
    <x v="13"/>
    <x v="5"/>
    <n v="2"/>
    <n v="58.48"/>
    <n v="116.96"/>
    <n v="39.01"/>
    <n v="38.94"/>
    <s v="New"/>
    <s v="UPI"/>
  </r>
  <r>
    <x v="31"/>
    <x v="31"/>
    <n v="2024"/>
    <x v="8"/>
    <s v="Howrah"/>
    <x v="16"/>
    <x v="5"/>
    <n v="19"/>
    <n v="65.41"/>
    <n v="1242.79"/>
    <n v="48.52"/>
    <n v="320.91000000000003"/>
    <s v="Returning"/>
    <s v="Debit Card"/>
  </r>
  <r>
    <x v="32"/>
    <x v="32"/>
    <n v="2023"/>
    <x v="6"/>
    <s v="Bangalore"/>
    <x v="18"/>
    <x v="4"/>
    <n v="8"/>
    <n v="176.89"/>
    <n v="1415.12"/>
    <n v="144.55000000000001"/>
    <n v="258.72000000000003"/>
    <s v="Regular"/>
    <s v="Cash on Delivery"/>
  </r>
  <r>
    <x v="33"/>
    <x v="33"/>
    <n v="2022"/>
    <x v="8"/>
    <s v="Howrah"/>
    <x v="19"/>
    <x v="2"/>
    <n v="15"/>
    <n v="98.68"/>
    <n v="1480.2"/>
    <n v="84.08"/>
    <n v="219"/>
    <s v="New"/>
    <s v="Credit Card"/>
  </r>
  <r>
    <x v="34"/>
    <x v="34"/>
    <n v="2023"/>
    <x v="8"/>
    <s v="Howrah"/>
    <x v="17"/>
    <x v="0"/>
    <n v="7"/>
    <n v="40.9"/>
    <n v="286.3"/>
    <n v="28.14"/>
    <n v="89.32"/>
    <s v="New"/>
    <s v="Credit Card"/>
  </r>
  <r>
    <x v="35"/>
    <x v="35"/>
    <n v="2024"/>
    <x v="6"/>
    <s v="Mysore"/>
    <x v="1"/>
    <x v="1"/>
    <n v="14"/>
    <n v="69.5"/>
    <n v="973"/>
    <n v="54.82"/>
    <n v="205.52"/>
    <s v="New"/>
    <s v="Cash on Delivery"/>
  </r>
  <r>
    <x v="36"/>
    <x v="36"/>
    <n v="2024"/>
    <x v="7"/>
    <s v="Ludhiana"/>
    <x v="3"/>
    <x v="3"/>
    <n v="1"/>
    <n v="190.24"/>
    <n v="190.24"/>
    <n v="156.65"/>
    <n v="33.590000000000003"/>
    <s v="Regular"/>
    <s v="UPI"/>
  </r>
  <r>
    <x v="37"/>
    <x v="37"/>
    <n v="2023"/>
    <x v="8"/>
    <s v="Kolkata"/>
    <x v="16"/>
    <x v="5"/>
    <n v="19"/>
    <n v="29.48"/>
    <n v="560.12"/>
    <n v="19.170000000000002"/>
    <n v="195.89"/>
    <s v="Regular"/>
    <s v="Credit Card"/>
  </r>
  <r>
    <x v="38"/>
    <x v="38"/>
    <n v="2024"/>
    <x v="7"/>
    <s v="Amritsar"/>
    <x v="20"/>
    <x v="2"/>
    <n v="5"/>
    <n v="161.9"/>
    <n v="809.5"/>
    <n v="105.62"/>
    <n v="281.39999999999998"/>
    <s v="Returning"/>
    <s v="Credit Card"/>
  </r>
  <r>
    <x v="39"/>
    <x v="39"/>
    <n v="2024"/>
    <x v="2"/>
    <s v="Noida"/>
    <x v="1"/>
    <x v="1"/>
    <n v="20"/>
    <n v="138.51"/>
    <n v="2770.2"/>
    <n v="115.34"/>
    <n v="463.4"/>
    <s v="New"/>
    <s v="UPI"/>
  </r>
  <r>
    <x v="40"/>
    <x v="40"/>
    <n v="2023"/>
    <x v="9"/>
    <s v="Jaipur"/>
    <x v="0"/>
    <x v="0"/>
    <n v="17"/>
    <n v="122.32"/>
    <n v="2079.44"/>
    <n v="90.99"/>
    <n v="532.61"/>
    <s v="Returning"/>
    <s v="UPI"/>
  </r>
  <r>
    <x v="41"/>
    <x v="41"/>
    <n v="2023"/>
    <x v="4"/>
    <s v="New Delhi"/>
    <x v="21"/>
    <x v="5"/>
    <n v="18"/>
    <n v="123.33"/>
    <n v="2219.94"/>
    <n v="91.53"/>
    <n v="572.4"/>
    <s v="Regular"/>
    <s v="Credit Card"/>
  </r>
  <r>
    <x v="42"/>
    <x v="42"/>
    <n v="2023"/>
    <x v="5"/>
    <s v="Mumbai"/>
    <x v="0"/>
    <x v="0"/>
    <n v="8"/>
    <n v="127.44"/>
    <n v="1019.52"/>
    <n v="108.58"/>
    <n v="150.88"/>
    <s v="Regular"/>
    <s v="Debit Card"/>
  </r>
  <r>
    <x v="43"/>
    <x v="43"/>
    <n v="2023"/>
    <x v="1"/>
    <s v="Warangal"/>
    <x v="4"/>
    <x v="0"/>
    <n v="20"/>
    <n v="83.42"/>
    <n v="1668.4"/>
    <n v="72.64"/>
    <n v="215.6"/>
    <s v="New"/>
    <s v="UPI"/>
  </r>
  <r>
    <x v="44"/>
    <x v="44"/>
    <n v="2022"/>
    <x v="6"/>
    <s v="Mysore"/>
    <x v="15"/>
    <x v="1"/>
    <n v="15"/>
    <n v="100.83"/>
    <n v="1512.45"/>
    <n v="89.78"/>
    <n v="165.75"/>
    <s v="Returning"/>
    <s v="Debit Card"/>
  </r>
  <r>
    <x v="45"/>
    <x v="45"/>
    <n v="2022"/>
    <x v="6"/>
    <s v="Bangalore"/>
    <x v="13"/>
    <x v="5"/>
    <n v="9"/>
    <n v="197.39"/>
    <n v="1776.51"/>
    <n v="148.55000000000001"/>
    <n v="439.56"/>
    <s v="New"/>
    <s v="Cash on Delivery"/>
  </r>
  <r>
    <x v="46"/>
    <x v="46"/>
    <n v="2023"/>
    <x v="5"/>
    <s v="Pune"/>
    <x v="22"/>
    <x v="4"/>
    <n v="20"/>
    <n v="178.39"/>
    <n v="3567.8"/>
    <n v="128.24"/>
    <n v="1003"/>
    <s v="Returning"/>
    <s v="Debit Card"/>
  </r>
  <r>
    <x v="47"/>
    <x v="47"/>
    <n v="2023"/>
    <x v="7"/>
    <s v="Ludhiana"/>
    <x v="16"/>
    <x v="5"/>
    <n v="18"/>
    <n v="22.33"/>
    <n v="401.94"/>
    <n v="19.59"/>
    <n v="49.32"/>
    <s v="Returning"/>
    <s v="Debit Card"/>
  </r>
  <r>
    <x v="48"/>
    <x v="48"/>
    <n v="2024"/>
    <x v="6"/>
    <s v="Bangalore"/>
    <x v="17"/>
    <x v="0"/>
    <n v="8"/>
    <n v="69.38"/>
    <n v="555.04"/>
    <n v="42.52"/>
    <n v="214.88"/>
    <s v="Regular"/>
    <s v="UPI"/>
  </r>
  <r>
    <x v="49"/>
    <x v="49"/>
    <n v="2024"/>
    <x v="0"/>
    <s v="Coimbatore"/>
    <x v="8"/>
    <x v="3"/>
    <n v="5"/>
    <n v="32.61"/>
    <n v="163.05000000000001"/>
    <n v="26.91"/>
    <n v="28.5"/>
    <s v="Returning"/>
    <s v="UPI"/>
  </r>
  <r>
    <x v="50"/>
    <x v="50"/>
    <n v="2023"/>
    <x v="0"/>
    <s v="Coimbatore"/>
    <x v="12"/>
    <x v="2"/>
    <n v="4"/>
    <n v="149.01"/>
    <n v="596.04"/>
    <n v="97.09"/>
    <n v="207.68"/>
    <s v="New"/>
    <s v="Cash on Delivery"/>
  </r>
  <r>
    <x v="51"/>
    <x v="51"/>
    <n v="2024"/>
    <x v="1"/>
    <s v="Hyderabad"/>
    <x v="0"/>
    <x v="0"/>
    <n v="8"/>
    <n v="105.79"/>
    <n v="846.32"/>
    <n v="73.97"/>
    <n v="254.56"/>
    <s v="Returning"/>
    <s v="Cash on Delivery"/>
  </r>
  <r>
    <x v="52"/>
    <x v="52"/>
    <n v="2023"/>
    <x v="4"/>
    <s v="New Delhi"/>
    <x v="21"/>
    <x v="5"/>
    <n v="10"/>
    <n v="92.22"/>
    <n v="922.2"/>
    <n v="57.31"/>
    <n v="349.1"/>
    <s v="New"/>
    <s v="UPI"/>
  </r>
  <r>
    <x v="53"/>
    <x v="53"/>
    <n v="2022"/>
    <x v="9"/>
    <s v="Jaipur"/>
    <x v="9"/>
    <x v="1"/>
    <n v="5"/>
    <n v="36.92"/>
    <n v="184.6"/>
    <n v="22.66"/>
    <n v="71.3"/>
    <s v="Returning"/>
    <s v="UPI"/>
  </r>
  <r>
    <x v="54"/>
    <x v="54"/>
    <n v="2024"/>
    <x v="9"/>
    <s v="Udaipur"/>
    <x v="15"/>
    <x v="1"/>
    <n v="13"/>
    <n v="193.79"/>
    <n v="2519.27"/>
    <n v="167.18"/>
    <n v="345.93"/>
    <s v="Regular"/>
    <s v="Cash on Delivery"/>
  </r>
  <r>
    <x v="55"/>
    <x v="55"/>
    <n v="2022"/>
    <x v="8"/>
    <s v="Howrah"/>
    <x v="17"/>
    <x v="0"/>
    <n v="10"/>
    <n v="60.07"/>
    <n v="600.70000000000005"/>
    <n v="44.19"/>
    <n v="158.80000000000001"/>
    <s v="New"/>
    <s v="Cash on Delivery"/>
  </r>
  <r>
    <x v="56"/>
    <x v="56"/>
    <n v="2024"/>
    <x v="1"/>
    <s v="Warangal"/>
    <x v="2"/>
    <x v="2"/>
    <n v="4"/>
    <n v="20.66"/>
    <n v="82.64"/>
    <n v="14.6"/>
    <n v="24.24"/>
    <s v="Regular"/>
    <s v="Cash on Delivery"/>
  </r>
  <r>
    <x v="57"/>
    <x v="57"/>
    <n v="2022"/>
    <x v="1"/>
    <s v="Warangal"/>
    <x v="3"/>
    <x v="3"/>
    <n v="14"/>
    <n v="184.04"/>
    <n v="2576.56"/>
    <n v="132.69999999999999"/>
    <n v="718.76"/>
    <s v="New"/>
    <s v="Cash on Delivery"/>
  </r>
  <r>
    <x v="58"/>
    <x v="58"/>
    <n v="2023"/>
    <x v="1"/>
    <s v="Hyderabad"/>
    <x v="17"/>
    <x v="0"/>
    <n v="1"/>
    <n v="150.82"/>
    <n v="150.82"/>
    <n v="132.32"/>
    <n v="18.5"/>
    <s v="New"/>
    <s v="UPI"/>
  </r>
  <r>
    <x v="59"/>
    <x v="59"/>
    <n v="2023"/>
    <x v="7"/>
    <s v="Ludhiana"/>
    <x v="20"/>
    <x v="2"/>
    <n v="8"/>
    <n v="113.7"/>
    <n v="909.6"/>
    <n v="87.82"/>
    <n v="207.04"/>
    <s v="Returning"/>
    <s v="UPI"/>
  </r>
  <r>
    <x v="60"/>
    <x v="60"/>
    <n v="2022"/>
    <x v="9"/>
    <s v="Udaipur"/>
    <x v="16"/>
    <x v="5"/>
    <n v="11"/>
    <n v="160"/>
    <n v="1760"/>
    <n v="117.71"/>
    <n v="465.19"/>
    <s v="New"/>
    <s v="Credit Card"/>
  </r>
  <r>
    <x v="61"/>
    <x v="61"/>
    <n v="2022"/>
    <x v="5"/>
    <s v="Nagpur"/>
    <x v="8"/>
    <x v="3"/>
    <n v="17"/>
    <n v="150.96"/>
    <n v="2566.3200000000002"/>
    <n v="100.26"/>
    <n v="861.9"/>
    <s v="New"/>
    <s v="Debit Card"/>
  </r>
  <r>
    <x v="62"/>
    <x v="62"/>
    <n v="2022"/>
    <x v="9"/>
    <s v="Jaipur"/>
    <x v="20"/>
    <x v="2"/>
    <n v="11"/>
    <n v="176.82"/>
    <n v="1945.02"/>
    <n v="148.04"/>
    <n v="316.58"/>
    <s v="Returning"/>
    <s v="Debit Card"/>
  </r>
  <r>
    <x v="63"/>
    <x v="63"/>
    <n v="2023"/>
    <x v="6"/>
    <s v="Mysore"/>
    <x v="3"/>
    <x v="3"/>
    <n v="1"/>
    <n v="144.97999999999999"/>
    <n v="144.97999999999999"/>
    <n v="97.58"/>
    <n v="47.4"/>
    <s v="Returning"/>
    <s v="Debit Card"/>
  </r>
  <r>
    <x v="64"/>
    <x v="64"/>
    <n v="2024"/>
    <x v="0"/>
    <s v="Chennai"/>
    <x v="21"/>
    <x v="5"/>
    <n v="17"/>
    <n v="194.4"/>
    <n v="3304.8"/>
    <n v="118.12"/>
    <n v="1296.76"/>
    <s v="Regular"/>
    <s v="Credit Card"/>
  </r>
  <r>
    <x v="65"/>
    <x v="65"/>
    <n v="2023"/>
    <x v="6"/>
    <s v="Bangalore"/>
    <x v="20"/>
    <x v="2"/>
    <n v="2"/>
    <n v="35.840000000000003"/>
    <n v="71.680000000000007"/>
    <n v="28.06"/>
    <n v="15.56"/>
    <s v="New"/>
    <s v="Credit Card"/>
  </r>
  <r>
    <x v="66"/>
    <x v="66"/>
    <n v="2022"/>
    <x v="1"/>
    <s v="Warangal"/>
    <x v="13"/>
    <x v="5"/>
    <n v="19"/>
    <n v="133.91999999999999"/>
    <n v="2544.48"/>
    <n v="104.86"/>
    <n v="552.14"/>
    <s v="New"/>
    <s v="Cash on Delivery"/>
  </r>
  <r>
    <x v="67"/>
    <x v="67"/>
    <n v="2024"/>
    <x v="4"/>
    <s v="New Delhi"/>
    <x v="3"/>
    <x v="3"/>
    <n v="2"/>
    <n v="100"/>
    <n v="200"/>
    <n v="62.57"/>
    <n v="74.86"/>
    <s v="Returning"/>
    <s v="Cash on Delivery"/>
  </r>
  <r>
    <x v="68"/>
    <x v="68"/>
    <n v="2022"/>
    <x v="3"/>
    <s v="Ahmedabad"/>
    <x v="13"/>
    <x v="5"/>
    <n v="7"/>
    <n v="57.47"/>
    <n v="402.29"/>
    <n v="44.33"/>
    <n v="91.98"/>
    <s v="Regular"/>
    <s v="UPI"/>
  </r>
  <r>
    <x v="69"/>
    <x v="69"/>
    <n v="2023"/>
    <x v="5"/>
    <s v="Pune"/>
    <x v="21"/>
    <x v="5"/>
    <n v="1"/>
    <n v="82.21"/>
    <n v="82.21"/>
    <n v="55.05"/>
    <n v="27.16"/>
    <s v="Returning"/>
    <s v="Credit Card"/>
  </r>
  <r>
    <x v="70"/>
    <x v="70"/>
    <n v="2024"/>
    <x v="2"/>
    <s v="Lucknow"/>
    <x v="3"/>
    <x v="3"/>
    <n v="6"/>
    <n v="134.04"/>
    <n v="804.24"/>
    <n v="110.45"/>
    <n v="141.54"/>
    <s v="Regular"/>
    <s v="Debit Card"/>
  </r>
  <r>
    <x v="71"/>
    <x v="71"/>
    <n v="2022"/>
    <x v="2"/>
    <s v="Noida"/>
    <x v="23"/>
    <x v="3"/>
    <n v="5"/>
    <n v="168.55"/>
    <n v="842.75"/>
    <n v="138.34"/>
    <n v="151.05000000000001"/>
    <s v="Returning"/>
    <s v="Cash on Delivery"/>
  </r>
  <r>
    <x v="72"/>
    <x v="72"/>
    <n v="2022"/>
    <x v="8"/>
    <s v="Howrah"/>
    <x v="11"/>
    <x v="3"/>
    <n v="18"/>
    <n v="79.92"/>
    <n v="1438.56"/>
    <n v="59.15"/>
    <n v="373.86"/>
    <s v="Returning"/>
    <s v="Credit Card"/>
  </r>
  <r>
    <x v="73"/>
    <x v="73"/>
    <n v="2022"/>
    <x v="6"/>
    <s v="Mysore"/>
    <x v="23"/>
    <x v="3"/>
    <n v="11"/>
    <n v="107.38"/>
    <n v="1181.18"/>
    <n v="83.53"/>
    <n v="262.35000000000002"/>
    <s v="Returning"/>
    <s v="Debit Card"/>
  </r>
  <r>
    <x v="74"/>
    <x v="74"/>
    <n v="2024"/>
    <x v="6"/>
    <s v="Bangalore"/>
    <x v="14"/>
    <x v="0"/>
    <n v="6"/>
    <n v="118.17"/>
    <n v="709.02"/>
    <n v="104.94"/>
    <n v="79.38"/>
    <s v="Returning"/>
    <s v="UPI"/>
  </r>
  <r>
    <x v="75"/>
    <x v="75"/>
    <n v="2023"/>
    <x v="4"/>
    <s v="New Delhi"/>
    <x v="20"/>
    <x v="2"/>
    <n v="9"/>
    <n v="73.34"/>
    <n v="660.06"/>
    <n v="48.85"/>
    <n v="220.41"/>
    <s v="New"/>
    <s v="Cash on Delivery"/>
  </r>
  <r>
    <x v="76"/>
    <x v="76"/>
    <n v="2024"/>
    <x v="6"/>
    <s v="Bangalore"/>
    <x v="21"/>
    <x v="5"/>
    <n v="12"/>
    <n v="140.58000000000001"/>
    <n v="1686.96"/>
    <n v="92.9"/>
    <n v="572.16"/>
    <s v="New"/>
    <s v="Debit Card"/>
  </r>
  <r>
    <x v="77"/>
    <x v="77"/>
    <n v="2022"/>
    <x v="6"/>
    <s v="Mysore"/>
    <x v="7"/>
    <x v="1"/>
    <n v="20"/>
    <n v="102.38"/>
    <n v="2047.6"/>
    <n v="88.56"/>
    <n v="276.39999999999998"/>
    <s v="Regular"/>
    <s v="Cash on Delivery"/>
  </r>
  <r>
    <x v="78"/>
    <x v="78"/>
    <n v="2023"/>
    <x v="5"/>
    <s v="Mumbai"/>
    <x v="20"/>
    <x v="2"/>
    <n v="17"/>
    <n v="149.04"/>
    <n v="2533.6799999999998"/>
    <n v="129.97999999999999"/>
    <n v="324.02"/>
    <s v="Regular"/>
    <s v="Credit Card"/>
  </r>
  <r>
    <x v="79"/>
    <x v="79"/>
    <n v="2022"/>
    <x v="4"/>
    <s v="New Delhi"/>
    <x v="12"/>
    <x v="2"/>
    <n v="17"/>
    <n v="67.849999999999994"/>
    <n v="1153.45"/>
    <n v="45.03"/>
    <n v="387.94"/>
    <s v="Returning"/>
    <s v="Cash on Delivery"/>
  </r>
  <r>
    <x v="80"/>
    <x v="80"/>
    <n v="2023"/>
    <x v="6"/>
    <s v="Bangalore"/>
    <x v="9"/>
    <x v="1"/>
    <n v="16"/>
    <n v="146.55000000000001"/>
    <n v="2344.8000000000002"/>
    <n v="94.7"/>
    <n v="829.6"/>
    <s v="Returning"/>
    <s v="Cash on Delivery"/>
  </r>
  <r>
    <x v="81"/>
    <x v="81"/>
    <n v="2024"/>
    <x v="7"/>
    <s v="Amritsar"/>
    <x v="22"/>
    <x v="4"/>
    <n v="7"/>
    <n v="35.450000000000003"/>
    <n v="248.15"/>
    <n v="25.75"/>
    <n v="67.900000000000006"/>
    <s v="Returning"/>
    <s v="UPI"/>
  </r>
  <r>
    <x v="82"/>
    <x v="82"/>
    <n v="2022"/>
    <x v="8"/>
    <s v="Kolkata"/>
    <x v="3"/>
    <x v="3"/>
    <n v="4"/>
    <n v="99.28"/>
    <n v="397.12"/>
    <n v="82.24"/>
    <n v="68.16"/>
    <s v="New"/>
    <s v="Debit Card"/>
  </r>
  <r>
    <x v="83"/>
    <x v="83"/>
    <n v="2024"/>
    <x v="1"/>
    <s v="Hyderabad"/>
    <x v="13"/>
    <x v="5"/>
    <n v="8"/>
    <n v="134.56"/>
    <n v="1076.48"/>
    <n v="118.79"/>
    <n v="126.16"/>
    <s v="New"/>
    <s v="Debit Card"/>
  </r>
  <r>
    <x v="84"/>
    <x v="84"/>
    <n v="2022"/>
    <x v="1"/>
    <s v="Warangal"/>
    <x v="16"/>
    <x v="5"/>
    <n v="7"/>
    <n v="125.34"/>
    <n v="877.38"/>
    <n v="86.85"/>
    <n v="269.43"/>
    <s v="Regular"/>
    <s v="Cash on Delivery"/>
  </r>
  <r>
    <x v="85"/>
    <x v="85"/>
    <n v="2024"/>
    <x v="0"/>
    <s v="Coimbatore"/>
    <x v="3"/>
    <x v="3"/>
    <n v="6"/>
    <n v="110.43"/>
    <n v="662.58"/>
    <n v="98.36"/>
    <n v="72.42"/>
    <s v="New"/>
    <s v="Debit Card"/>
  </r>
  <r>
    <x v="86"/>
    <x v="86"/>
    <n v="2024"/>
    <x v="9"/>
    <s v="Udaipur"/>
    <x v="5"/>
    <x v="4"/>
    <n v="7"/>
    <n v="160.88999999999999"/>
    <n v="1126.23"/>
    <n v="121.68"/>
    <n v="274.47000000000003"/>
    <s v="Returning"/>
    <s v="Debit Card"/>
  </r>
  <r>
    <x v="87"/>
    <x v="87"/>
    <n v="2024"/>
    <x v="3"/>
    <s v="Surat"/>
    <x v="18"/>
    <x v="4"/>
    <n v="12"/>
    <n v="57.83"/>
    <n v="693.96"/>
    <n v="49.66"/>
    <n v="98.04"/>
    <s v="Regular"/>
    <s v="Cash on Delivery"/>
  </r>
  <r>
    <x v="88"/>
    <x v="88"/>
    <n v="2024"/>
    <x v="8"/>
    <s v="Howrah"/>
    <x v="22"/>
    <x v="4"/>
    <n v="2"/>
    <n v="112.24"/>
    <n v="224.48"/>
    <n v="68.290000000000006"/>
    <n v="87.9"/>
    <s v="New"/>
    <s v="Debit Card"/>
  </r>
  <r>
    <x v="89"/>
    <x v="89"/>
    <n v="2024"/>
    <x v="8"/>
    <s v="Kolkata"/>
    <x v="19"/>
    <x v="2"/>
    <n v="19"/>
    <n v="40.97"/>
    <n v="778.43"/>
    <n v="26.63"/>
    <n v="272.45999999999998"/>
    <s v="New"/>
    <s v="Cash on Delivery"/>
  </r>
  <r>
    <x v="90"/>
    <x v="7"/>
    <n v="2022"/>
    <x v="0"/>
    <s v="Chennai"/>
    <x v="8"/>
    <x v="3"/>
    <n v="9"/>
    <n v="73.12"/>
    <n v="658.08"/>
    <n v="53.12"/>
    <n v="180"/>
    <s v="New"/>
    <s v="Debit Card"/>
  </r>
  <r>
    <x v="91"/>
    <x v="90"/>
    <n v="2022"/>
    <x v="3"/>
    <s v="Ahmedabad"/>
    <x v="5"/>
    <x v="4"/>
    <n v="16"/>
    <n v="156.15"/>
    <n v="2498.4"/>
    <n v="119.51"/>
    <n v="586.24"/>
    <s v="Returning"/>
    <s v="Debit Card"/>
  </r>
  <r>
    <x v="92"/>
    <x v="91"/>
    <n v="2024"/>
    <x v="5"/>
    <s v="Mumbai"/>
    <x v="0"/>
    <x v="0"/>
    <n v="10"/>
    <n v="156.69999999999999"/>
    <n v="1567"/>
    <n v="124.65"/>
    <n v="320.5"/>
    <s v="Regular"/>
    <s v="Cash on Delivery"/>
  </r>
  <r>
    <x v="93"/>
    <x v="92"/>
    <n v="2024"/>
    <x v="4"/>
    <s v="New Delhi"/>
    <x v="9"/>
    <x v="1"/>
    <n v="5"/>
    <n v="140.01"/>
    <n v="700.05"/>
    <n v="95.47"/>
    <n v="222.7"/>
    <s v="Returning"/>
    <s v="Debit Card"/>
  </r>
  <r>
    <x v="94"/>
    <x v="45"/>
    <n v="2022"/>
    <x v="5"/>
    <s v="Mumbai"/>
    <x v="15"/>
    <x v="1"/>
    <n v="2"/>
    <n v="182.19"/>
    <n v="364.38"/>
    <n v="151.57"/>
    <n v="61.24"/>
    <s v="New"/>
    <s v="Cash on Delivery"/>
  </r>
  <r>
    <x v="95"/>
    <x v="93"/>
    <n v="2022"/>
    <x v="6"/>
    <s v="Bangalore"/>
    <x v="15"/>
    <x v="1"/>
    <n v="15"/>
    <n v="190.94"/>
    <n v="2864.1"/>
    <n v="143.04"/>
    <n v="718.5"/>
    <s v="New"/>
    <s v="Credit Card"/>
  </r>
  <r>
    <x v="96"/>
    <x v="94"/>
    <n v="2022"/>
    <x v="1"/>
    <s v="Hyderabad"/>
    <x v="7"/>
    <x v="1"/>
    <n v="8"/>
    <n v="107.68"/>
    <n v="861.44"/>
    <n v="88.18"/>
    <n v="156"/>
    <s v="Returning"/>
    <s v="Credit Card"/>
  </r>
  <r>
    <x v="97"/>
    <x v="95"/>
    <n v="2022"/>
    <x v="8"/>
    <s v="Howrah"/>
    <x v="11"/>
    <x v="3"/>
    <n v="11"/>
    <n v="59.6"/>
    <n v="655.6"/>
    <n v="45.11"/>
    <n v="159.38999999999999"/>
    <s v="Returning"/>
    <s v="Debit Card"/>
  </r>
  <r>
    <x v="98"/>
    <x v="96"/>
    <n v="2022"/>
    <x v="4"/>
    <s v="New Delhi"/>
    <x v="22"/>
    <x v="4"/>
    <n v="18"/>
    <n v="155.75"/>
    <n v="2803.5"/>
    <n v="140.15"/>
    <n v="280.8"/>
    <s v="Regular"/>
    <s v="Credit Card"/>
  </r>
  <r>
    <x v="99"/>
    <x v="97"/>
    <n v="2022"/>
    <x v="4"/>
    <s v="New Delhi"/>
    <x v="20"/>
    <x v="2"/>
    <n v="12"/>
    <n v="43.23"/>
    <n v="518.76"/>
    <n v="32.229999999999997"/>
    <n v="132"/>
    <s v="Returning"/>
    <s v="UPI"/>
  </r>
  <r>
    <x v="100"/>
    <x v="98"/>
    <n v="2023"/>
    <x v="8"/>
    <s v="Howrah"/>
    <x v="12"/>
    <x v="2"/>
    <n v="17"/>
    <n v="35.909999999999997"/>
    <n v="610.47"/>
    <n v="29.38"/>
    <n v="111.01"/>
    <s v="New"/>
    <s v="UPI"/>
  </r>
  <r>
    <x v="101"/>
    <x v="80"/>
    <n v="2023"/>
    <x v="0"/>
    <s v="Coimbatore"/>
    <x v="3"/>
    <x v="3"/>
    <n v="16"/>
    <n v="175.43"/>
    <n v="2806.88"/>
    <n v="112.16"/>
    <n v="1012.32"/>
    <s v="Returning"/>
    <s v="Debit Card"/>
  </r>
  <r>
    <x v="102"/>
    <x v="99"/>
    <n v="2023"/>
    <x v="3"/>
    <s v="Surat"/>
    <x v="7"/>
    <x v="1"/>
    <n v="3"/>
    <n v="141.88999999999999"/>
    <n v="425.67"/>
    <n v="122.41"/>
    <n v="58.44"/>
    <s v="Regular"/>
    <s v="UPI"/>
  </r>
  <r>
    <x v="103"/>
    <x v="100"/>
    <n v="2022"/>
    <x v="4"/>
    <s v="New Delhi"/>
    <x v="6"/>
    <x v="5"/>
    <n v="12"/>
    <n v="132.65"/>
    <n v="1591.8"/>
    <n v="106.98"/>
    <n v="308.04000000000002"/>
    <s v="Returning"/>
    <s v="Debit Card"/>
  </r>
  <r>
    <x v="104"/>
    <x v="101"/>
    <n v="2022"/>
    <x v="2"/>
    <s v="Lucknow"/>
    <x v="21"/>
    <x v="5"/>
    <n v="13"/>
    <n v="29.9"/>
    <n v="388.7"/>
    <n v="19.489999999999998"/>
    <n v="135.33000000000001"/>
    <s v="New"/>
    <s v="Debit Card"/>
  </r>
  <r>
    <x v="105"/>
    <x v="102"/>
    <n v="2022"/>
    <x v="6"/>
    <s v="Bangalore"/>
    <x v="8"/>
    <x v="3"/>
    <n v="20"/>
    <n v="191.78"/>
    <n v="3835.6"/>
    <n v="127.35"/>
    <n v="1288.5999999999999"/>
    <s v="Returning"/>
    <s v="Credit Card"/>
  </r>
  <r>
    <x v="106"/>
    <x v="103"/>
    <n v="2022"/>
    <x v="4"/>
    <s v="New Delhi"/>
    <x v="10"/>
    <x v="4"/>
    <n v="2"/>
    <n v="116.21"/>
    <n v="232.42"/>
    <n v="88.52"/>
    <n v="55.38"/>
    <s v="Regular"/>
    <s v="UPI"/>
  </r>
  <r>
    <x v="107"/>
    <x v="104"/>
    <n v="2022"/>
    <x v="2"/>
    <s v="Lucknow"/>
    <x v="17"/>
    <x v="0"/>
    <n v="4"/>
    <n v="124.31"/>
    <n v="497.24"/>
    <n v="95.72"/>
    <n v="114.36"/>
    <s v="New"/>
    <s v="Cash on Delivery"/>
  </r>
  <r>
    <x v="108"/>
    <x v="53"/>
    <n v="2022"/>
    <x v="5"/>
    <s v="Pune"/>
    <x v="20"/>
    <x v="2"/>
    <n v="7"/>
    <n v="193.28"/>
    <n v="1352.96"/>
    <n v="136.41999999999999"/>
    <n v="398.02"/>
    <s v="New"/>
    <s v="Cash on Delivery"/>
  </r>
  <r>
    <x v="109"/>
    <x v="105"/>
    <n v="2024"/>
    <x v="4"/>
    <s v="New Delhi"/>
    <x v="9"/>
    <x v="1"/>
    <n v="18"/>
    <n v="184.08"/>
    <n v="3313.44"/>
    <n v="150.69"/>
    <n v="601.02"/>
    <s v="New"/>
    <s v="Credit Card"/>
  </r>
  <r>
    <x v="110"/>
    <x v="106"/>
    <n v="2022"/>
    <x v="8"/>
    <s v="Kolkata"/>
    <x v="5"/>
    <x v="4"/>
    <n v="11"/>
    <n v="135.04"/>
    <n v="1485.44"/>
    <n v="89.33"/>
    <n v="502.81"/>
    <s v="Regular"/>
    <s v="Cash on Delivery"/>
  </r>
  <r>
    <x v="111"/>
    <x v="107"/>
    <n v="2023"/>
    <x v="7"/>
    <s v="Amritsar"/>
    <x v="1"/>
    <x v="1"/>
    <n v="10"/>
    <n v="184.56"/>
    <n v="1845.6"/>
    <n v="132.86000000000001"/>
    <n v="517"/>
    <s v="New"/>
    <s v="Debit Card"/>
  </r>
  <r>
    <x v="112"/>
    <x v="108"/>
    <n v="2024"/>
    <x v="8"/>
    <s v="Kolkata"/>
    <x v="5"/>
    <x v="4"/>
    <n v="5"/>
    <n v="172.12"/>
    <n v="860.6"/>
    <n v="127.1"/>
    <n v="225.1"/>
    <s v="New"/>
    <s v="UPI"/>
  </r>
  <r>
    <x v="113"/>
    <x v="109"/>
    <n v="2023"/>
    <x v="4"/>
    <s v="New Delhi"/>
    <x v="5"/>
    <x v="4"/>
    <n v="7"/>
    <n v="141.22999999999999"/>
    <n v="988.61"/>
    <n v="121.97"/>
    <n v="134.82"/>
    <s v="Returning"/>
    <s v="Debit Card"/>
  </r>
  <r>
    <x v="114"/>
    <x v="110"/>
    <n v="2024"/>
    <x v="5"/>
    <s v="Mumbai"/>
    <x v="23"/>
    <x v="3"/>
    <n v="13"/>
    <n v="32.31"/>
    <n v="420.03"/>
    <n v="24.38"/>
    <n v="103.09"/>
    <s v="New"/>
    <s v="Credit Card"/>
  </r>
  <r>
    <x v="115"/>
    <x v="111"/>
    <n v="2022"/>
    <x v="0"/>
    <s v="Coimbatore"/>
    <x v="22"/>
    <x v="4"/>
    <n v="4"/>
    <n v="38.85"/>
    <n v="155.4"/>
    <n v="30.82"/>
    <n v="32.119999999999997"/>
    <s v="Regular"/>
    <s v="Credit Card"/>
  </r>
  <r>
    <x v="116"/>
    <x v="112"/>
    <n v="2023"/>
    <x v="5"/>
    <s v="Nagpur"/>
    <x v="0"/>
    <x v="0"/>
    <n v="2"/>
    <n v="158.80000000000001"/>
    <n v="317.60000000000002"/>
    <n v="120.67"/>
    <n v="76.260000000000005"/>
    <s v="Returning"/>
    <s v="UPI"/>
  </r>
  <r>
    <x v="117"/>
    <x v="113"/>
    <n v="2022"/>
    <x v="7"/>
    <s v="Amritsar"/>
    <x v="5"/>
    <x v="4"/>
    <n v="7"/>
    <n v="106.4"/>
    <n v="744.8"/>
    <n v="66.989999999999995"/>
    <n v="275.87"/>
    <s v="Returning"/>
    <s v="Credit Card"/>
  </r>
  <r>
    <x v="118"/>
    <x v="74"/>
    <n v="2024"/>
    <x v="2"/>
    <s v="Noida"/>
    <x v="22"/>
    <x v="4"/>
    <n v="9"/>
    <n v="55.6"/>
    <n v="500.4"/>
    <n v="48.77"/>
    <n v="61.47"/>
    <s v="Regular"/>
    <s v="Credit Card"/>
  </r>
  <r>
    <x v="119"/>
    <x v="114"/>
    <n v="2024"/>
    <x v="2"/>
    <s v="Lucknow"/>
    <x v="15"/>
    <x v="1"/>
    <n v="5"/>
    <n v="194.76"/>
    <n v="973.8"/>
    <n v="174.58"/>
    <n v="100.9"/>
    <s v="Returning"/>
    <s v="UPI"/>
  </r>
  <r>
    <x v="120"/>
    <x v="115"/>
    <n v="2022"/>
    <x v="1"/>
    <s v="Hyderabad"/>
    <x v="2"/>
    <x v="2"/>
    <n v="11"/>
    <n v="146.11000000000001"/>
    <n v="1607.21"/>
    <n v="96.21"/>
    <n v="548.9"/>
    <s v="Returning"/>
    <s v="Cash on Delivery"/>
  </r>
  <r>
    <x v="121"/>
    <x v="116"/>
    <n v="2022"/>
    <x v="1"/>
    <s v="Hyderabad"/>
    <x v="4"/>
    <x v="0"/>
    <n v="12"/>
    <n v="92.47"/>
    <n v="1109.6400000000001"/>
    <n v="76.13"/>
    <n v="196.08"/>
    <s v="New"/>
    <s v="UPI"/>
  </r>
  <r>
    <x v="122"/>
    <x v="117"/>
    <n v="2023"/>
    <x v="5"/>
    <s v="Nagpur"/>
    <x v="20"/>
    <x v="2"/>
    <n v="2"/>
    <n v="69.86"/>
    <n v="139.72"/>
    <n v="48.31"/>
    <n v="43.1"/>
    <s v="Regular"/>
    <s v="UPI"/>
  </r>
  <r>
    <x v="123"/>
    <x v="3"/>
    <n v="2023"/>
    <x v="7"/>
    <s v="Amritsar"/>
    <x v="5"/>
    <x v="4"/>
    <n v="14"/>
    <n v="117.31"/>
    <n v="1642.34"/>
    <n v="103.84"/>
    <n v="188.58"/>
    <s v="New"/>
    <s v="Cash on Delivery"/>
  </r>
  <r>
    <x v="124"/>
    <x v="118"/>
    <n v="2022"/>
    <x v="3"/>
    <s v="Surat"/>
    <x v="18"/>
    <x v="4"/>
    <n v="1"/>
    <n v="170.85"/>
    <n v="170.85"/>
    <n v="128.13"/>
    <n v="42.72"/>
    <s v="New"/>
    <s v="Credit Card"/>
  </r>
  <r>
    <x v="125"/>
    <x v="119"/>
    <n v="2024"/>
    <x v="6"/>
    <s v="Mysore"/>
    <x v="21"/>
    <x v="5"/>
    <n v="19"/>
    <n v="153.72999999999999"/>
    <n v="2920.87"/>
    <n v="133.31"/>
    <n v="387.98"/>
    <s v="New"/>
    <s v="Cash on Delivery"/>
  </r>
  <r>
    <x v="126"/>
    <x v="120"/>
    <n v="2023"/>
    <x v="9"/>
    <s v="Udaipur"/>
    <x v="22"/>
    <x v="4"/>
    <n v="4"/>
    <n v="75.77"/>
    <n v="303.08"/>
    <n v="66.489999999999995"/>
    <n v="37.119999999999997"/>
    <s v="Regular"/>
    <s v="Debit Card"/>
  </r>
  <r>
    <x v="127"/>
    <x v="121"/>
    <n v="2024"/>
    <x v="5"/>
    <s v="Mumbai"/>
    <x v="8"/>
    <x v="3"/>
    <n v="5"/>
    <n v="31.9"/>
    <n v="159.5"/>
    <n v="24.42"/>
    <n v="37.4"/>
    <s v="New"/>
    <s v="Debit Card"/>
  </r>
  <r>
    <x v="128"/>
    <x v="122"/>
    <n v="2022"/>
    <x v="7"/>
    <s v="Amritsar"/>
    <x v="21"/>
    <x v="5"/>
    <n v="17"/>
    <n v="59.23"/>
    <n v="1006.91"/>
    <n v="43.29"/>
    <n v="270.98"/>
    <s v="Regular"/>
    <s v="Debit Card"/>
  </r>
  <r>
    <x v="129"/>
    <x v="123"/>
    <n v="2024"/>
    <x v="5"/>
    <s v="Mumbai"/>
    <x v="23"/>
    <x v="3"/>
    <n v="17"/>
    <n v="54.33"/>
    <n v="923.61"/>
    <n v="35.39"/>
    <n v="321.98"/>
    <s v="Regular"/>
    <s v="Cash on Delivery"/>
  </r>
  <r>
    <x v="130"/>
    <x v="124"/>
    <n v="2023"/>
    <x v="5"/>
    <s v="Pune"/>
    <x v="20"/>
    <x v="2"/>
    <n v="7"/>
    <n v="126.46"/>
    <n v="885.22"/>
    <n v="82.46"/>
    <n v="308"/>
    <s v="Returning"/>
    <s v="Credit Card"/>
  </r>
  <r>
    <x v="131"/>
    <x v="125"/>
    <n v="2023"/>
    <x v="8"/>
    <s v="Howrah"/>
    <x v="8"/>
    <x v="3"/>
    <n v="13"/>
    <n v="60.96"/>
    <n v="792.48"/>
    <n v="48.99"/>
    <n v="155.61000000000001"/>
    <s v="New"/>
    <s v="Debit Card"/>
  </r>
  <r>
    <x v="132"/>
    <x v="126"/>
    <n v="2024"/>
    <x v="6"/>
    <s v="Mysore"/>
    <x v="20"/>
    <x v="2"/>
    <n v="3"/>
    <n v="153.74"/>
    <n v="461.22"/>
    <n v="111.17"/>
    <n v="127.71"/>
    <s v="New"/>
    <s v="Debit Card"/>
  </r>
  <r>
    <x v="133"/>
    <x v="64"/>
    <n v="2024"/>
    <x v="4"/>
    <s v="New Delhi"/>
    <x v="19"/>
    <x v="2"/>
    <n v="18"/>
    <n v="139.51"/>
    <n v="2511.1799999999998"/>
    <n v="116.55"/>
    <n v="413.28"/>
    <s v="New"/>
    <s v="Cash on Delivery"/>
  </r>
  <r>
    <x v="134"/>
    <x v="127"/>
    <n v="2023"/>
    <x v="5"/>
    <s v="Mumbai"/>
    <x v="21"/>
    <x v="5"/>
    <n v="16"/>
    <n v="98.02"/>
    <n v="1568.32"/>
    <n v="83.44"/>
    <n v="233.28"/>
    <s v="Regular"/>
    <s v="Debit Card"/>
  </r>
  <r>
    <x v="135"/>
    <x v="128"/>
    <n v="2022"/>
    <x v="7"/>
    <s v="Ludhiana"/>
    <x v="0"/>
    <x v="0"/>
    <n v="18"/>
    <n v="124.57"/>
    <n v="2242.2600000000002"/>
    <n v="85.74"/>
    <n v="698.94"/>
    <s v="Regular"/>
    <s v="Cash on Delivery"/>
  </r>
  <r>
    <x v="136"/>
    <x v="129"/>
    <n v="2024"/>
    <x v="4"/>
    <s v="New Delhi"/>
    <x v="21"/>
    <x v="5"/>
    <n v="4"/>
    <n v="118.25"/>
    <n v="473"/>
    <n v="91.85"/>
    <n v="105.6"/>
    <s v="New"/>
    <s v="Cash on Delivery"/>
  </r>
  <r>
    <x v="137"/>
    <x v="130"/>
    <n v="2024"/>
    <x v="4"/>
    <s v="New Delhi"/>
    <x v="10"/>
    <x v="4"/>
    <n v="18"/>
    <n v="110.56"/>
    <n v="1990.08"/>
    <n v="83.41"/>
    <n v="488.7"/>
    <s v="Returning"/>
    <s v="Credit Card"/>
  </r>
  <r>
    <x v="138"/>
    <x v="112"/>
    <n v="2023"/>
    <x v="5"/>
    <s v="Mumbai"/>
    <x v="14"/>
    <x v="0"/>
    <n v="17"/>
    <n v="81.599999999999994"/>
    <n v="1387.2"/>
    <n v="48.99"/>
    <n v="554.37"/>
    <s v="Regular"/>
    <s v="Credit Card"/>
  </r>
  <r>
    <x v="139"/>
    <x v="131"/>
    <n v="2023"/>
    <x v="3"/>
    <s v="Ahmedabad"/>
    <x v="5"/>
    <x v="4"/>
    <n v="5"/>
    <n v="36.58"/>
    <n v="182.9"/>
    <n v="25.9"/>
    <n v="53.4"/>
    <s v="Regular"/>
    <s v="Debit Card"/>
  </r>
  <r>
    <x v="140"/>
    <x v="132"/>
    <n v="2022"/>
    <x v="4"/>
    <s v="New Delhi"/>
    <x v="9"/>
    <x v="1"/>
    <n v="13"/>
    <n v="48.27"/>
    <n v="627.51"/>
    <n v="35.18"/>
    <n v="170.17"/>
    <s v="Regular"/>
    <s v="Credit Card"/>
  </r>
  <r>
    <x v="141"/>
    <x v="133"/>
    <n v="2024"/>
    <x v="6"/>
    <s v="Bangalore"/>
    <x v="19"/>
    <x v="2"/>
    <n v="8"/>
    <n v="196.96"/>
    <n v="1575.68"/>
    <n v="144.58000000000001"/>
    <n v="419.04"/>
    <s v="New"/>
    <s v="Debit Card"/>
  </r>
  <r>
    <x v="142"/>
    <x v="134"/>
    <n v="2023"/>
    <x v="7"/>
    <s v="Amritsar"/>
    <x v="13"/>
    <x v="5"/>
    <n v="17"/>
    <n v="30.15"/>
    <n v="512.54999999999995"/>
    <n v="26.45"/>
    <n v="62.9"/>
    <s v="Regular"/>
    <s v="Cash on Delivery"/>
  </r>
  <r>
    <x v="143"/>
    <x v="60"/>
    <n v="2022"/>
    <x v="4"/>
    <s v="New Delhi"/>
    <x v="12"/>
    <x v="2"/>
    <n v="6"/>
    <n v="89.45"/>
    <n v="536.70000000000005"/>
    <n v="79.05"/>
    <n v="62.4"/>
    <s v="New"/>
    <s v="UPI"/>
  </r>
  <r>
    <x v="144"/>
    <x v="135"/>
    <n v="2024"/>
    <x v="3"/>
    <s v="Surat"/>
    <x v="12"/>
    <x v="2"/>
    <n v="10"/>
    <n v="186.84"/>
    <n v="1868.4"/>
    <n v="141.16999999999999"/>
    <n v="456.7"/>
    <s v="New"/>
    <s v="Debit Card"/>
  </r>
  <r>
    <x v="145"/>
    <x v="136"/>
    <n v="2023"/>
    <x v="4"/>
    <s v="New Delhi"/>
    <x v="11"/>
    <x v="3"/>
    <n v="16"/>
    <n v="52.99"/>
    <n v="847.84"/>
    <n v="42.78"/>
    <n v="163.36000000000001"/>
    <s v="Returning"/>
    <s v="Credit Card"/>
  </r>
  <r>
    <x v="146"/>
    <x v="137"/>
    <n v="2024"/>
    <x v="2"/>
    <s v="Lucknow"/>
    <x v="0"/>
    <x v="0"/>
    <n v="16"/>
    <n v="123.23"/>
    <n v="1971.68"/>
    <n v="110.75"/>
    <n v="199.68"/>
    <s v="New"/>
    <s v="Credit Card"/>
  </r>
  <r>
    <x v="147"/>
    <x v="138"/>
    <n v="2024"/>
    <x v="8"/>
    <s v="Howrah"/>
    <x v="14"/>
    <x v="0"/>
    <n v="20"/>
    <n v="134.88"/>
    <n v="2697.6"/>
    <n v="91.04"/>
    <n v="876.8"/>
    <s v="Regular"/>
    <s v="Debit Card"/>
  </r>
  <r>
    <x v="148"/>
    <x v="139"/>
    <n v="2023"/>
    <x v="6"/>
    <s v="Bangalore"/>
    <x v="23"/>
    <x v="3"/>
    <n v="19"/>
    <n v="88.51"/>
    <n v="1681.69"/>
    <n v="65.849999999999994"/>
    <n v="430.54"/>
    <s v="New"/>
    <s v="Debit Card"/>
  </r>
  <r>
    <x v="149"/>
    <x v="140"/>
    <n v="2022"/>
    <x v="1"/>
    <s v="Hyderabad"/>
    <x v="20"/>
    <x v="2"/>
    <n v="16"/>
    <n v="167.79"/>
    <n v="2684.64"/>
    <n v="115.5"/>
    <n v="836.64"/>
    <s v="New"/>
    <s v="Credit Card"/>
  </r>
  <r>
    <x v="150"/>
    <x v="141"/>
    <n v="2023"/>
    <x v="5"/>
    <s v="Mumbai"/>
    <x v="20"/>
    <x v="2"/>
    <n v="1"/>
    <n v="78.95"/>
    <n v="78.95"/>
    <n v="62.55"/>
    <n v="16.399999999999999"/>
    <s v="Returning"/>
    <s v="Cash on Delivery"/>
  </r>
  <r>
    <x v="151"/>
    <x v="142"/>
    <n v="2022"/>
    <x v="0"/>
    <s v="Coimbatore"/>
    <x v="2"/>
    <x v="2"/>
    <n v="8"/>
    <n v="186.19"/>
    <n v="1489.52"/>
    <n v="155.72"/>
    <n v="243.76"/>
    <s v="New"/>
    <s v="Debit Card"/>
  </r>
  <r>
    <x v="152"/>
    <x v="143"/>
    <n v="2023"/>
    <x v="6"/>
    <s v="Bangalore"/>
    <x v="14"/>
    <x v="0"/>
    <n v="9"/>
    <n v="142.76"/>
    <n v="1284.8399999999999"/>
    <n v="106.49"/>
    <n v="326.43"/>
    <s v="New"/>
    <s v="Debit Card"/>
  </r>
  <r>
    <x v="153"/>
    <x v="144"/>
    <n v="2024"/>
    <x v="0"/>
    <s v="Chennai"/>
    <x v="15"/>
    <x v="1"/>
    <n v="6"/>
    <n v="155.16"/>
    <n v="930.96"/>
    <n v="132.87"/>
    <n v="133.74"/>
    <s v="New"/>
    <s v="Debit Card"/>
  </r>
  <r>
    <x v="154"/>
    <x v="145"/>
    <n v="2024"/>
    <x v="7"/>
    <s v="Ludhiana"/>
    <x v="13"/>
    <x v="5"/>
    <n v="15"/>
    <n v="157.58000000000001"/>
    <n v="2363.6999999999998"/>
    <n v="131.87"/>
    <n v="385.65"/>
    <s v="Returning"/>
    <s v="Credit Card"/>
  </r>
  <r>
    <x v="155"/>
    <x v="146"/>
    <n v="2022"/>
    <x v="1"/>
    <s v="Warangal"/>
    <x v="12"/>
    <x v="2"/>
    <n v="13"/>
    <n v="90.78"/>
    <n v="1180.1400000000001"/>
    <n v="71.03"/>
    <n v="256.75"/>
    <s v="Returning"/>
    <s v="Debit Card"/>
  </r>
  <r>
    <x v="156"/>
    <x v="147"/>
    <n v="2023"/>
    <x v="6"/>
    <s v="Bangalore"/>
    <x v="0"/>
    <x v="0"/>
    <n v="13"/>
    <n v="186.39"/>
    <n v="2423.0700000000002"/>
    <n v="139.74"/>
    <n v="606.45000000000005"/>
    <s v="New"/>
    <s v="UPI"/>
  </r>
  <r>
    <x v="157"/>
    <x v="148"/>
    <n v="2024"/>
    <x v="0"/>
    <s v="Coimbatore"/>
    <x v="13"/>
    <x v="5"/>
    <n v="15"/>
    <n v="88.56"/>
    <n v="1328.4"/>
    <n v="78.64"/>
    <n v="148.80000000000001"/>
    <s v="Regular"/>
    <s v="Cash on Delivery"/>
  </r>
  <r>
    <x v="158"/>
    <x v="149"/>
    <n v="2023"/>
    <x v="9"/>
    <s v="Jaipur"/>
    <x v="17"/>
    <x v="0"/>
    <n v="15"/>
    <n v="197.01"/>
    <n v="2955.15"/>
    <n v="173.33"/>
    <n v="355.2"/>
    <s v="New"/>
    <s v="Cash on Delivery"/>
  </r>
  <r>
    <x v="159"/>
    <x v="150"/>
    <n v="2022"/>
    <x v="0"/>
    <s v="Chennai"/>
    <x v="16"/>
    <x v="5"/>
    <n v="18"/>
    <n v="28.92"/>
    <n v="520.55999999999995"/>
    <n v="24.31"/>
    <n v="82.98"/>
    <s v="Returning"/>
    <s v="Debit Card"/>
  </r>
  <r>
    <x v="160"/>
    <x v="151"/>
    <n v="2023"/>
    <x v="1"/>
    <s v="Warangal"/>
    <x v="7"/>
    <x v="1"/>
    <n v="11"/>
    <n v="132.52000000000001"/>
    <n v="1457.72"/>
    <n v="116.64"/>
    <n v="174.68"/>
    <s v="Returning"/>
    <s v="Cash on Delivery"/>
  </r>
  <r>
    <x v="161"/>
    <x v="152"/>
    <n v="2022"/>
    <x v="2"/>
    <s v="Noida"/>
    <x v="8"/>
    <x v="3"/>
    <n v="13"/>
    <n v="100.52"/>
    <n v="1306.76"/>
    <n v="81.37"/>
    <n v="248.95"/>
    <s v="Returning"/>
    <s v="UPI"/>
  </r>
  <r>
    <x v="162"/>
    <x v="153"/>
    <n v="2022"/>
    <x v="7"/>
    <s v="Ludhiana"/>
    <x v="2"/>
    <x v="2"/>
    <n v="19"/>
    <n v="149.97"/>
    <n v="2849.43"/>
    <n v="115.62"/>
    <n v="652.65"/>
    <s v="Returning"/>
    <s v="Cash on Delivery"/>
  </r>
  <r>
    <x v="163"/>
    <x v="154"/>
    <n v="2022"/>
    <x v="8"/>
    <s v="Howrah"/>
    <x v="7"/>
    <x v="1"/>
    <n v="8"/>
    <n v="24.26"/>
    <n v="194.08"/>
    <n v="20.079999999999998"/>
    <n v="33.44"/>
    <s v="Returning"/>
    <s v="UPI"/>
  </r>
  <r>
    <x v="164"/>
    <x v="155"/>
    <n v="2024"/>
    <x v="1"/>
    <s v="Warangal"/>
    <x v="17"/>
    <x v="0"/>
    <n v="12"/>
    <n v="121.26"/>
    <n v="1455.12"/>
    <n v="106.12"/>
    <n v="181.68"/>
    <s v="Regular"/>
    <s v="Cash on Delivery"/>
  </r>
  <r>
    <x v="165"/>
    <x v="156"/>
    <n v="2022"/>
    <x v="3"/>
    <s v="Surat"/>
    <x v="4"/>
    <x v="0"/>
    <n v="15"/>
    <n v="65.16"/>
    <n v="977.4"/>
    <n v="58.24"/>
    <n v="103.8"/>
    <s v="Regular"/>
    <s v="Credit Card"/>
  </r>
  <r>
    <x v="166"/>
    <x v="157"/>
    <n v="2022"/>
    <x v="3"/>
    <s v="Ahmedabad"/>
    <x v="20"/>
    <x v="2"/>
    <n v="15"/>
    <n v="69.14"/>
    <n v="1037.0999999999999"/>
    <n v="44.09"/>
    <n v="375.75"/>
    <s v="Returning"/>
    <s v="UPI"/>
  </r>
  <r>
    <x v="167"/>
    <x v="158"/>
    <n v="2022"/>
    <x v="4"/>
    <s v="New Delhi"/>
    <x v="21"/>
    <x v="5"/>
    <n v="16"/>
    <n v="90.16"/>
    <n v="1442.56"/>
    <n v="76.930000000000007"/>
    <n v="211.68"/>
    <s v="New"/>
    <s v="Credit Card"/>
  </r>
  <r>
    <x v="168"/>
    <x v="159"/>
    <n v="2023"/>
    <x v="6"/>
    <s v="Bangalore"/>
    <x v="16"/>
    <x v="5"/>
    <n v="16"/>
    <n v="118.65"/>
    <n v="1898.4"/>
    <n v="93.31"/>
    <n v="405.44"/>
    <s v="New"/>
    <s v="Debit Card"/>
  </r>
  <r>
    <x v="169"/>
    <x v="160"/>
    <n v="2024"/>
    <x v="5"/>
    <s v="Mumbai"/>
    <x v="17"/>
    <x v="0"/>
    <n v="15"/>
    <n v="148.46"/>
    <n v="2226.9"/>
    <n v="117.47"/>
    <n v="464.85"/>
    <s v="Returning"/>
    <s v="Credit Card"/>
  </r>
  <r>
    <x v="170"/>
    <x v="161"/>
    <n v="2022"/>
    <x v="9"/>
    <s v="Jaipur"/>
    <x v="11"/>
    <x v="3"/>
    <n v="11"/>
    <n v="120.1"/>
    <n v="1321.1"/>
    <n v="78.7"/>
    <n v="455.4"/>
    <s v="Returning"/>
    <s v="Cash on Delivery"/>
  </r>
  <r>
    <x v="171"/>
    <x v="162"/>
    <n v="2023"/>
    <x v="4"/>
    <s v="New Delhi"/>
    <x v="4"/>
    <x v="0"/>
    <n v="20"/>
    <n v="149.83000000000001"/>
    <n v="2996.6"/>
    <n v="112.88"/>
    <n v="739"/>
    <s v="Regular"/>
    <s v="Credit Card"/>
  </r>
  <r>
    <x v="172"/>
    <x v="163"/>
    <n v="2024"/>
    <x v="6"/>
    <s v="Mysore"/>
    <x v="1"/>
    <x v="1"/>
    <n v="3"/>
    <n v="128.66"/>
    <n v="385.98"/>
    <n v="78.53"/>
    <n v="150.38999999999999"/>
    <s v="Returning"/>
    <s v="Debit Card"/>
  </r>
  <r>
    <x v="173"/>
    <x v="164"/>
    <n v="2022"/>
    <x v="1"/>
    <s v="Warangal"/>
    <x v="9"/>
    <x v="1"/>
    <n v="12"/>
    <n v="97.05"/>
    <n v="1164.5999999999999"/>
    <n v="76.7"/>
    <n v="244.2"/>
    <s v="New"/>
    <s v="Credit Card"/>
  </r>
  <r>
    <x v="174"/>
    <x v="165"/>
    <n v="2023"/>
    <x v="2"/>
    <s v="Lucknow"/>
    <x v="12"/>
    <x v="2"/>
    <n v="14"/>
    <n v="68.53"/>
    <n v="959.42"/>
    <n v="59.17"/>
    <n v="131.04"/>
    <s v="Regular"/>
    <s v="Credit Card"/>
  </r>
  <r>
    <x v="175"/>
    <x v="166"/>
    <n v="2024"/>
    <x v="1"/>
    <s v="Hyderabad"/>
    <x v="20"/>
    <x v="2"/>
    <n v="12"/>
    <n v="126.34"/>
    <n v="1516.08"/>
    <n v="81.89"/>
    <n v="533.4"/>
    <s v="New"/>
    <s v="Debit Card"/>
  </r>
  <r>
    <x v="176"/>
    <x v="167"/>
    <n v="2023"/>
    <x v="1"/>
    <s v="Warangal"/>
    <x v="6"/>
    <x v="5"/>
    <n v="4"/>
    <n v="144.96"/>
    <n v="579.84"/>
    <n v="111.28"/>
    <n v="134.72"/>
    <s v="Returning"/>
    <s v="Credit Card"/>
  </r>
  <r>
    <x v="177"/>
    <x v="168"/>
    <n v="2022"/>
    <x v="1"/>
    <s v="Warangal"/>
    <x v="8"/>
    <x v="3"/>
    <n v="6"/>
    <n v="198.2"/>
    <n v="1189.2"/>
    <n v="140.44999999999999"/>
    <n v="346.5"/>
    <s v="Returning"/>
    <s v="Cash on Delivery"/>
  </r>
  <r>
    <x v="178"/>
    <x v="169"/>
    <n v="2024"/>
    <x v="8"/>
    <s v="Kolkata"/>
    <x v="3"/>
    <x v="3"/>
    <n v="17"/>
    <n v="69.569999999999993"/>
    <n v="1182.69"/>
    <n v="51.54"/>
    <n v="306.51"/>
    <s v="Returning"/>
    <s v="Cash on Delivery"/>
  </r>
  <r>
    <x v="179"/>
    <x v="170"/>
    <n v="2024"/>
    <x v="7"/>
    <s v="Amritsar"/>
    <x v="1"/>
    <x v="1"/>
    <n v="12"/>
    <n v="48.08"/>
    <n v="576.96"/>
    <n v="42.68"/>
    <n v="64.8"/>
    <s v="Returning"/>
    <s v="UPI"/>
  </r>
  <r>
    <x v="180"/>
    <x v="171"/>
    <n v="2024"/>
    <x v="9"/>
    <s v="Jaipur"/>
    <x v="19"/>
    <x v="2"/>
    <n v="9"/>
    <n v="42.58"/>
    <n v="383.22"/>
    <n v="30.99"/>
    <n v="104.31"/>
    <s v="New"/>
    <s v="UPI"/>
  </r>
  <r>
    <x v="181"/>
    <x v="172"/>
    <n v="2024"/>
    <x v="0"/>
    <s v="Coimbatore"/>
    <x v="20"/>
    <x v="2"/>
    <n v="5"/>
    <n v="39.130000000000003"/>
    <n v="195.65"/>
    <n v="32.369999999999997"/>
    <n v="33.799999999999997"/>
    <s v="Returning"/>
    <s v="Cash on Delivery"/>
  </r>
  <r>
    <x v="182"/>
    <x v="173"/>
    <n v="2023"/>
    <x v="0"/>
    <s v="Chennai"/>
    <x v="0"/>
    <x v="0"/>
    <n v="12"/>
    <n v="191.18"/>
    <n v="2294.16"/>
    <n v="132.72"/>
    <n v="701.52"/>
    <s v="Regular"/>
    <s v="UPI"/>
  </r>
  <r>
    <x v="183"/>
    <x v="174"/>
    <n v="2022"/>
    <x v="0"/>
    <s v="Coimbatore"/>
    <x v="2"/>
    <x v="2"/>
    <n v="20"/>
    <n v="42.78"/>
    <n v="855.6"/>
    <n v="35.14"/>
    <n v="152.80000000000001"/>
    <s v="New"/>
    <s v="Cash on Delivery"/>
  </r>
  <r>
    <x v="184"/>
    <x v="59"/>
    <n v="2023"/>
    <x v="7"/>
    <s v="Ludhiana"/>
    <x v="0"/>
    <x v="0"/>
    <n v="12"/>
    <n v="80.55"/>
    <n v="966.6"/>
    <n v="57.06"/>
    <n v="281.88"/>
    <s v="Returning"/>
    <s v="UPI"/>
  </r>
  <r>
    <x v="185"/>
    <x v="175"/>
    <n v="2023"/>
    <x v="1"/>
    <s v="Warangal"/>
    <x v="20"/>
    <x v="2"/>
    <n v="6"/>
    <n v="135.68"/>
    <n v="814.08"/>
    <n v="91.91"/>
    <n v="262.62"/>
    <s v="Returning"/>
    <s v="Credit Card"/>
  </r>
  <r>
    <x v="186"/>
    <x v="102"/>
    <n v="2022"/>
    <x v="7"/>
    <s v="Amritsar"/>
    <x v="5"/>
    <x v="4"/>
    <n v="10"/>
    <n v="30.61"/>
    <n v="306.10000000000002"/>
    <n v="18.37"/>
    <n v="122.4"/>
    <s v="Returning"/>
    <s v="Credit Card"/>
  </r>
  <r>
    <x v="187"/>
    <x v="176"/>
    <n v="2024"/>
    <x v="7"/>
    <s v="Amritsar"/>
    <x v="12"/>
    <x v="2"/>
    <n v="9"/>
    <n v="36.72"/>
    <n v="330.48"/>
    <n v="29.24"/>
    <n v="67.319999999999993"/>
    <s v="New"/>
    <s v="Debit Card"/>
  </r>
  <r>
    <x v="188"/>
    <x v="177"/>
    <n v="2024"/>
    <x v="0"/>
    <s v="Coimbatore"/>
    <x v="2"/>
    <x v="2"/>
    <n v="1"/>
    <n v="192.06"/>
    <n v="192.06"/>
    <n v="140.52000000000001"/>
    <n v="51.54"/>
    <s v="Regular"/>
    <s v="Credit Card"/>
  </r>
  <r>
    <x v="189"/>
    <x v="178"/>
    <n v="2022"/>
    <x v="3"/>
    <s v="Surat"/>
    <x v="15"/>
    <x v="1"/>
    <n v="16"/>
    <n v="75.91"/>
    <n v="1214.56"/>
    <n v="57.14"/>
    <n v="300.32"/>
    <s v="Regular"/>
    <s v="UPI"/>
  </r>
  <r>
    <x v="190"/>
    <x v="179"/>
    <n v="2022"/>
    <x v="9"/>
    <s v="Jaipur"/>
    <x v="4"/>
    <x v="0"/>
    <n v="18"/>
    <n v="39.58"/>
    <n v="712.44"/>
    <n v="34.08"/>
    <n v="99"/>
    <s v="Returning"/>
    <s v="Cash on Delivery"/>
  </r>
  <r>
    <x v="191"/>
    <x v="180"/>
    <n v="2023"/>
    <x v="4"/>
    <s v="New Delhi"/>
    <x v="17"/>
    <x v="0"/>
    <n v="5"/>
    <n v="130.22"/>
    <n v="651.1"/>
    <n v="102.9"/>
    <n v="136.6"/>
    <s v="New"/>
    <s v="Debit Card"/>
  </r>
  <r>
    <x v="192"/>
    <x v="181"/>
    <n v="2024"/>
    <x v="6"/>
    <s v="Bangalore"/>
    <x v="3"/>
    <x v="3"/>
    <n v="4"/>
    <n v="172.93"/>
    <n v="691.72"/>
    <n v="125.59"/>
    <n v="189.36"/>
    <s v="New"/>
    <s v="Credit Card"/>
  </r>
  <r>
    <x v="193"/>
    <x v="182"/>
    <n v="2022"/>
    <x v="6"/>
    <s v="Mysore"/>
    <x v="12"/>
    <x v="2"/>
    <n v="8"/>
    <n v="93.9"/>
    <n v="751.2"/>
    <n v="62.99"/>
    <n v="247.28"/>
    <s v="New"/>
    <s v="UPI"/>
  </r>
  <r>
    <x v="194"/>
    <x v="183"/>
    <n v="2024"/>
    <x v="7"/>
    <s v="Ludhiana"/>
    <x v="22"/>
    <x v="4"/>
    <n v="11"/>
    <n v="115.84"/>
    <n v="1274.24"/>
    <n v="98.29"/>
    <n v="193.05"/>
    <s v="Returning"/>
    <s v="Cash on Delivery"/>
  </r>
  <r>
    <x v="195"/>
    <x v="184"/>
    <n v="2022"/>
    <x v="7"/>
    <s v="Ludhiana"/>
    <x v="12"/>
    <x v="2"/>
    <n v="20"/>
    <n v="75.010000000000005"/>
    <n v="1500.2"/>
    <n v="53.33"/>
    <n v="433.6"/>
    <s v="New"/>
    <s v="Cash on Delivery"/>
  </r>
  <r>
    <x v="196"/>
    <x v="185"/>
    <n v="2023"/>
    <x v="7"/>
    <s v="Amritsar"/>
    <x v="18"/>
    <x v="4"/>
    <n v="11"/>
    <n v="164.48"/>
    <n v="1809.28"/>
    <n v="139.03"/>
    <n v="279.95"/>
    <s v="Returning"/>
    <s v="Credit Card"/>
  </r>
  <r>
    <x v="197"/>
    <x v="186"/>
    <n v="2022"/>
    <x v="0"/>
    <s v="Coimbatore"/>
    <x v="5"/>
    <x v="4"/>
    <n v="6"/>
    <n v="190.56"/>
    <n v="1143.3599999999999"/>
    <n v="125.78"/>
    <n v="388.68"/>
    <s v="New"/>
    <s v="Debit Card"/>
  </r>
  <r>
    <x v="198"/>
    <x v="187"/>
    <n v="2023"/>
    <x v="7"/>
    <s v="Ludhiana"/>
    <x v="6"/>
    <x v="5"/>
    <n v="5"/>
    <n v="28"/>
    <n v="140"/>
    <n v="22.02"/>
    <n v="29.9"/>
    <s v="Regular"/>
    <s v="Credit Card"/>
  </r>
  <r>
    <x v="199"/>
    <x v="188"/>
    <n v="2024"/>
    <x v="5"/>
    <s v="Pune"/>
    <x v="13"/>
    <x v="5"/>
    <n v="15"/>
    <n v="68.41"/>
    <n v="1026.1500000000001"/>
    <n v="44.27"/>
    <n v="362.1"/>
    <s v="Regular"/>
    <s v="Credit Card"/>
  </r>
  <r>
    <x v="200"/>
    <x v="189"/>
    <n v="2024"/>
    <x v="5"/>
    <s v="Mumbai"/>
    <x v="5"/>
    <x v="4"/>
    <n v="13"/>
    <n v="118.65"/>
    <n v="1542.45"/>
    <n v="87.44"/>
    <n v="405.73"/>
    <s v="Regular"/>
    <s v="Credit Card"/>
  </r>
  <r>
    <x v="201"/>
    <x v="190"/>
    <n v="2023"/>
    <x v="6"/>
    <s v="Bangalore"/>
    <x v="11"/>
    <x v="3"/>
    <n v="6"/>
    <n v="146.30000000000001"/>
    <n v="877.8"/>
    <n v="111.59"/>
    <n v="208.26"/>
    <s v="New"/>
    <s v="Cash on Delivery"/>
  </r>
  <r>
    <x v="202"/>
    <x v="191"/>
    <n v="2023"/>
    <x v="7"/>
    <s v="Ludhiana"/>
    <x v="18"/>
    <x v="4"/>
    <n v="1"/>
    <n v="161.47999999999999"/>
    <n v="161.47999999999999"/>
    <n v="135.05000000000001"/>
    <n v="26.43"/>
    <s v="Returning"/>
    <s v="Debit Card"/>
  </r>
  <r>
    <x v="203"/>
    <x v="192"/>
    <n v="2022"/>
    <x v="3"/>
    <s v="Ahmedabad"/>
    <x v="22"/>
    <x v="4"/>
    <n v="11"/>
    <n v="144.11000000000001"/>
    <n v="1585.21"/>
    <n v="92.34"/>
    <n v="569.47"/>
    <s v="Returning"/>
    <s v="Cash on Delivery"/>
  </r>
  <r>
    <x v="204"/>
    <x v="75"/>
    <n v="2023"/>
    <x v="4"/>
    <s v="New Delhi"/>
    <x v="22"/>
    <x v="4"/>
    <n v="1"/>
    <n v="183.37"/>
    <n v="183.37"/>
    <n v="144.71"/>
    <n v="38.659999999999997"/>
    <s v="Returning"/>
    <s v="Cash on Delivery"/>
  </r>
  <r>
    <x v="205"/>
    <x v="193"/>
    <n v="2022"/>
    <x v="3"/>
    <s v="Ahmedabad"/>
    <x v="10"/>
    <x v="4"/>
    <n v="9"/>
    <n v="57.91"/>
    <n v="521.19000000000005"/>
    <n v="51.05"/>
    <n v="61.74"/>
    <s v="Returning"/>
    <s v="UPI"/>
  </r>
  <r>
    <x v="206"/>
    <x v="194"/>
    <n v="2024"/>
    <x v="3"/>
    <s v="Ahmedabad"/>
    <x v="11"/>
    <x v="3"/>
    <n v="3"/>
    <n v="42.43"/>
    <n v="127.29"/>
    <n v="28.71"/>
    <n v="41.16"/>
    <s v="Returning"/>
    <s v="Cash on Delivery"/>
  </r>
  <r>
    <x v="207"/>
    <x v="195"/>
    <n v="2024"/>
    <x v="7"/>
    <s v="Ludhiana"/>
    <x v="18"/>
    <x v="4"/>
    <n v="1"/>
    <n v="49.41"/>
    <n v="49.41"/>
    <n v="40.74"/>
    <n v="8.67"/>
    <s v="Regular"/>
    <s v="UPI"/>
  </r>
  <r>
    <x v="208"/>
    <x v="196"/>
    <n v="2024"/>
    <x v="3"/>
    <s v="Ahmedabad"/>
    <x v="10"/>
    <x v="4"/>
    <n v="17"/>
    <n v="142.31"/>
    <n v="2419.27"/>
    <n v="127.08"/>
    <n v="258.91000000000003"/>
    <s v="Returning"/>
    <s v="Cash on Delivery"/>
  </r>
  <r>
    <x v="209"/>
    <x v="197"/>
    <n v="2024"/>
    <x v="7"/>
    <s v="Ludhiana"/>
    <x v="7"/>
    <x v="1"/>
    <n v="18"/>
    <n v="114.5"/>
    <n v="2061"/>
    <n v="102.5"/>
    <n v="216"/>
    <s v="Regular"/>
    <s v="Debit Card"/>
  </r>
  <r>
    <x v="210"/>
    <x v="59"/>
    <n v="2023"/>
    <x v="8"/>
    <s v="Kolkata"/>
    <x v="23"/>
    <x v="3"/>
    <n v="6"/>
    <n v="43.35"/>
    <n v="260.10000000000002"/>
    <n v="30.06"/>
    <n v="79.739999999999995"/>
    <s v="New"/>
    <s v="UPI"/>
  </r>
  <r>
    <x v="211"/>
    <x v="198"/>
    <n v="2024"/>
    <x v="4"/>
    <s v="New Delhi"/>
    <x v="4"/>
    <x v="0"/>
    <n v="18"/>
    <n v="131.66999999999999"/>
    <n v="2370.06"/>
    <n v="88.31"/>
    <n v="780.48"/>
    <s v="New"/>
    <s v="Credit Card"/>
  </r>
  <r>
    <x v="212"/>
    <x v="199"/>
    <n v="2023"/>
    <x v="5"/>
    <s v="Pune"/>
    <x v="3"/>
    <x v="3"/>
    <n v="4"/>
    <n v="69.680000000000007"/>
    <n v="278.72000000000003"/>
    <n v="58.39"/>
    <n v="45.16"/>
    <s v="Returning"/>
    <s v="Debit Card"/>
  </r>
  <r>
    <x v="213"/>
    <x v="200"/>
    <n v="2024"/>
    <x v="5"/>
    <s v="Mumbai"/>
    <x v="12"/>
    <x v="2"/>
    <n v="7"/>
    <n v="140.97999999999999"/>
    <n v="986.86"/>
    <n v="113.49"/>
    <n v="192.43"/>
    <s v="Returning"/>
    <s v="UPI"/>
  </r>
  <r>
    <x v="214"/>
    <x v="201"/>
    <n v="2024"/>
    <x v="2"/>
    <s v="Noida"/>
    <x v="14"/>
    <x v="0"/>
    <n v="5"/>
    <n v="119.78"/>
    <n v="598.9"/>
    <n v="74.73"/>
    <n v="225.25"/>
    <s v="Regular"/>
    <s v="Debit Card"/>
  </r>
  <r>
    <x v="215"/>
    <x v="202"/>
    <n v="2024"/>
    <x v="3"/>
    <s v="Surat"/>
    <x v="9"/>
    <x v="1"/>
    <n v="9"/>
    <n v="148.85"/>
    <n v="1339.65"/>
    <n v="91.89"/>
    <n v="512.64"/>
    <s v="New"/>
    <s v="UPI"/>
  </r>
  <r>
    <x v="216"/>
    <x v="203"/>
    <n v="2023"/>
    <x v="6"/>
    <s v="Mysore"/>
    <x v="23"/>
    <x v="3"/>
    <n v="8"/>
    <n v="56.5"/>
    <n v="452"/>
    <n v="48.78"/>
    <n v="61.76"/>
    <s v="Regular"/>
    <s v="Cash on Delivery"/>
  </r>
  <r>
    <x v="217"/>
    <x v="204"/>
    <n v="2024"/>
    <x v="4"/>
    <s v="New Delhi"/>
    <x v="10"/>
    <x v="4"/>
    <n v="19"/>
    <n v="184.25"/>
    <n v="3500.75"/>
    <n v="138.41999999999999"/>
    <n v="870.77"/>
    <s v="Returning"/>
    <s v="UPI"/>
  </r>
  <r>
    <x v="218"/>
    <x v="205"/>
    <n v="2023"/>
    <x v="6"/>
    <s v="Bangalore"/>
    <x v="4"/>
    <x v="0"/>
    <n v="13"/>
    <n v="49.98"/>
    <n v="649.74"/>
    <n v="44.43"/>
    <n v="72.150000000000006"/>
    <s v="Returning"/>
    <s v="Debit Card"/>
  </r>
  <r>
    <x v="219"/>
    <x v="206"/>
    <n v="2023"/>
    <x v="4"/>
    <s v="New Delhi"/>
    <x v="17"/>
    <x v="0"/>
    <n v="3"/>
    <n v="21.37"/>
    <n v="64.11"/>
    <n v="14.29"/>
    <n v="21.24"/>
    <s v="New"/>
    <s v="Credit Card"/>
  </r>
  <r>
    <x v="220"/>
    <x v="207"/>
    <n v="2023"/>
    <x v="0"/>
    <s v="Chennai"/>
    <x v="23"/>
    <x v="3"/>
    <n v="6"/>
    <n v="62.55"/>
    <n v="375.3"/>
    <n v="54.36"/>
    <n v="49.14"/>
    <s v="Returning"/>
    <s v="Cash on Delivery"/>
  </r>
  <r>
    <x v="221"/>
    <x v="208"/>
    <n v="2023"/>
    <x v="9"/>
    <s v="Jaipur"/>
    <x v="12"/>
    <x v="2"/>
    <n v="10"/>
    <n v="199.42"/>
    <n v="1994.2"/>
    <n v="172.34"/>
    <n v="270.8"/>
    <s v="Regular"/>
    <s v="Cash on Delivery"/>
  </r>
  <r>
    <x v="222"/>
    <x v="209"/>
    <n v="2022"/>
    <x v="0"/>
    <s v="Coimbatore"/>
    <x v="19"/>
    <x v="2"/>
    <n v="7"/>
    <n v="54.79"/>
    <n v="383.53"/>
    <n v="46.97"/>
    <n v="54.74"/>
    <s v="Regular"/>
    <s v="Cash on Delivery"/>
  </r>
  <r>
    <x v="223"/>
    <x v="210"/>
    <n v="2022"/>
    <x v="7"/>
    <s v="Amritsar"/>
    <x v="3"/>
    <x v="3"/>
    <n v="13"/>
    <n v="121.33"/>
    <n v="1577.29"/>
    <n v="73.47"/>
    <n v="622.17999999999995"/>
    <s v="New"/>
    <s v="Debit Card"/>
  </r>
  <r>
    <x v="224"/>
    <x v="4"/>
    <n v="2023"/>
    <x v="5"/>
    <s v="Pune"/>
    <x v="2"/>
    <x v="2"/>
    <n v="17"/>
    <n v="159.51"/>
    <n v="2711.67"/>
    <n v="117.62"/>
    <n v="712.13"/>
    <s v="Regular"/>
    <s v="Credit Card"/>
  </r>
  <r>
    <x v="225"/>
    <x v="77"/>
    <n v="2022"/>
    <x v="0"/>
    <s v="Chennai"/>
    <x v="18"/>
    <x v="4"/>
    <n v="6"/>
    <n v="161.07"/>
    <n v="966.42"/>
    <n v="141.80000000000001"/>
    <n v="115.62"/>
    <s v="Returning"/>
    <s v="UPI"/>
  </r>
  <r>
    <x v="226"/>
    <x v="173"/>
    <n v="2023"/>
    <x v="1"/>
    <s v="Hyderabad"/>
    <x v="4"/>
    <x v="0"/>
    <n v="15"/>
    <n v="105.01"/>
    <n v="1575.15"/>
    <n v="71.34"/>
    <n v="505.05"/>
    <s v="Returning"/>
    <s v="Debit Card"/>
  </r>
  <r>
    <x v="227"/>
    <x v="211"/>
    <n v="2022"/>
    <x v="5"/>
    <s v="Nagpur"/>
    <x v="17"/>
    <x v="0"/>
    <n v="10"/>
    <n v="79.260000000000005"/>
    <n v="792.6"/>
    <n v="47.58"/>
    <n v="316.8"/>
    <s v="Returning"/>
    <s v="Cash on Delivery"/>
  </r>
  <r>
    <x v="228"/>
    <x v="212"/>
    <n v="2024"/>
    <x v="8"/>
    <s v="Kolkata"/>
    <x v="19"/>
    <x v="2"/>
    <n v="8"/>
    <n v="159.34"/>
    <n v="1274.72"/>
    <n v="103.87"/>
    <n v="443.76"/>
    <s v="Returning"/>
    <s v="UPI"/>
  </r>
  <r>
    <x v="229"/>
    <x v="213"/>
    <n v="2023"/>
    <x v="4"/>
    <s v="New Delhi"/>
    <x v="17"/>
    <x v="0"/>
    <n v="15"/>
    <n v="175.72"/>
    <n v="2635.8"/>
    <n v="121.64"/>
    <n v="811.2"/>
    <s v="Regular"/>
    <s v="Debit Card"/>
  </r>
  <r>
    <x v="230"/>
    <x v="214"/>
    <n v="2022"/>
    <x v="9"/>
    <s v="Jaipur"/>
    <x v="5"/>
    <x v="4"/>
    <n v="2"/>
    <n v="26.05"/>
    <n v="52.1"/>
    <n v="15.85"/>
    <n v="20.399999999999999"/>
    <s v="Regular"/>
    <s v="Cash on Delivery"/>
  </r>
  <r>
    <x v="231"/>
    <x v="215"/>
    <n v="2023"/>
    <x v="7"/>
    <s v="Amritsar"/>
    <x v="21"/>
    <x v="5"/>
    <n v="20"/>
    <n v="78.84"/>
    <n v="1576.8"/>
    <n v="58.47"/>
    <n v="407.4"/>
    <s v="New"/>
    <s v="UPI"/>
  </r>
  <r>
    <x v="232"/>
    <x v="28"/>
    <n v="2024"/>
    <x v="9"/>
    <s v="Jaipur"/>
    <x v="5"/>
    <x v="4"/>
    <n v="1"/>
    <n v="28.11"/>
    <n v="28.11"/>
    <n v="21.68"/>
    <n v="6.43"/>
    <s v="New"/>
    <s v="UPI"/>
  </r>
  <r>
    <x v="233"/>
    <x v="216"/>
    <n v="2024"/>
    <x v="2"/>
    <s v="Lucknow"/>
    <x v="18"/>
    <x v="4"/>
    <n v="11"/>
    <n v="68.430000000000007"/>
    <n v="752.73"/>
    <n v="51.04"/>
    <n v="191.29"/>
    <s v="New"/>
    <s v="Cash on Delivery"/>
  </r>
  <r>
    <x v="234"/>
    <x v="217"/>
    <n v="2022"/>
    <x v="5"/>
    <s v="Mumbai"/>
    <x v="11"/>
    <x v="3"/>
    <n v="6"/>
    <n v="27.29"/>
    <n v="163.74"/>
    <n v="22.96"/>
    <n v="25.98"/>
    <s v="New"/>
    <s v="UPI"/>
  </r>
  <r>
    <x v="235"/>
    <x v="218"/>
    <n v="2024"/>
    <x v="2"/>
    <s v="Noida"/>
    <x v="5"/>
    <x v="4"/>
    <n v="13"/>
    <n v="183.35"/>
    <n v="2383.5500000000002"/>
    <n v="138.08000000000001"/>
    <n v="588.51"/>
    <s v="New"/>
    <s v="Credit Card"/>
  </r>
  <r>
    <x v="236"/>
    <x v="219"/>
    <n v="2024"/>
    <x v="9"/>
    <s v="Udaipur"/>
    <x v="21"/>
    <x v="5"/>
    <n v="16"/>
    <n v="111.33"/>
    <n v="1781.28"/>
    <n v="89.7"/>
    <n v="346.08"/>
    <s v="New"/>
    <s v="Cash on Delivery"/>
  </r>
  <r>
    <x v="237"/>
    <x v="220"/>
    <n v="2023"/>
    <x v="3"/>
    <s v="Surat"/>
    <x v="23"/>
    <x v="3"/>
    <n v="19"/>
    <n v="27.66"/>
    <n v="525.54"/>
    <n v="23.71"/>
    <n v="75.05"/>
    <s v="Returning"/>
    <s v="Credit Card"/>
  </r>
  <r>
    <x v="238"/>
    <x v="221"/>
    <n v="2024"/>
    <x v="6"/>
    <s v="Bangalore"/>
    <x v="2"/>
    <x v="2"/>
    <n v="9"/>
    <n v="125.07"/>
    <n v="1125.6300000000001"/>
    <n v="77.33"/>
    <n v="429.66"/>
    <s v="Returning"/>
    <s v="UPI"/>
  </r>
  <r>
    <x v="239"/>
    <x v="212"/>
    <n v="2024"/>
    <x v="6"/>
    <s v="Mysore"/>
    <x v="6"/>
    <x v="5"/>
    <n v="5"/>
    <n v="109.61"/>
    <n v="548.04999999999995"/>
    <n v="81.67"/>
    <n v="139.69999999999999"/>
    <s v="New"/>
    <s v="UPI"/>
  </r>
  <r>
    <x v="240"/>
    <x v="222"/>
    <n v="2024"/>
    <x v="4"/>
    <s v="New Delhi"/>
    <x v="16"/>
    <x v="5"/>
    <n v="9"/>
    <n v="58.08"/>
    <n v="522.72"/>
    <n v="49.11"/>
    <n v="80.73"/>
    <s v="New"/>
    <s v="Credit Card"/>
  </r>
  <r>
    <x v="241"/>
    <x v="70"/>
    <n v="2024"/>
    <x v="9"/>
    <s v="Jaipur"/>
    <x v="3"/>
    <x v="3"/>
    <n v="14"/>
    <n v="166.97"/>
    <n v="2337.58"/>
    <n v="108.62"/>
    <n v="816.9"/>
    <s v="Regular"/>
    <s v="UPI"/>
  </r>
  <r>
    <x v="242"/>
    <x v="223"/>
    <n v="2024"/>
    <x v="0"/>
    <s v="Coimbatore"/>
    <x v="6"/>
    <x v="5"/>
    <n v="4"/>
    <n v="97.63"/>
    <n v="390.52"/>
    <n v="86.95"/>
    <n v="42.72"/>
    <s v="New"/>
    <s v="Cash on Delivery"/>
  </r>
  <r>
    <x v="243"/>
    <x v="224"/>
    <n v="2024"/>
    <x v="8"/>
    <s v="Howrah"/>
    <x v="6"/>
    <x v="5"/>
    <n v="20"/>
    <n v="117.01"/>
    <n v="2340.1999999999998"/>
    <n v="82.58"/>
    <n v="688.6"/>
    <s v="Regular"/>
    <s v="UPI"/>
  </r>
  <r>
    <x v="244"/>
    <x v="225"/>
    <n v="2023"/>
    <x v="0"/>
    <s v="Coimbatore"/>
    <x v="20"/>
    <x v="2"/>
    <n v="20"/>
    <n v="111.69"/>
    <n v="2233.8000000000002"/>
    <n v="83.95"/>
    <n v="554.79999999999995"/>
    <s v="Returning"/>
    <s v="UPI"/>
  </r>
  <r>
    <x v="245"/>
    <x v="226"/>
    <n v="2023"/>
    <x v="2"/>
    <s v="Lucknow"/>
    <x v="18"/>
    <x v="4"/>
    <n v="17"/>
    <n v="178.44"/>
    <n v="3033.48"/>
    <n v="128.29"/>
    <n v="852.55"/>
    <s v="New"/>
    <s v="Credit Card"/>
  </r>
  <r>
    <x v="246"/>
    <x v="227"/>
    <n v="2023"/>
    <x v="7"/>
    <s v="Amritsar"/>
    <x v="13"/>
    <x v="5"/>
    <n v="15"/>
    <n v="113.41"/>
    <n v="1701.15"/>
    <n v="87.89"/>
    <n v="382.8"/>
    <s v="Regular"/>
    <s v="Credit Card"/>
  </r>
  <r>
    <x v="247"/>
    <x v="228"/>
    <n v="2023"/>
    <x v="0"/>
    <s v="Chennai"/>
    <x v="10"/>
    <x v="4"/>
    <n v="5"/>
    <n v="96.66"/>
    <n v="483.3"/>
    <n v="62.73"/>
    <n v="169.65"/>
    <s v="New"/>
    <s v="UPI"/>
  </r>
  <r>
    <x v="248"/>
    <x v="229"/>
    <n v="2022"/>
    <x v="7"/>
    <s v="Amritsar"/>
    <x v="15"/>
    <x v="1"/>
    <n v="7"/>
    <n v="30.05"/>
    <n v="210.35"/>
    <n v="25.23"/>
    <n v="33.74"/>
    <s v="Returning"/>
    <s v="Debit Card"/>
  </r>
  <r>
    <x v="249"/>
    <x v="230"/>
    <n v="2022"/>
    <x v="8"/>
    <s v="Kolkata"/>
    <x v="15"/>
    <x v="1"/>
    <n v="15"/>
    <n v="126.95"/>
    <n v="1904.25"/>
    <n v="78.72"/>
    <n v="723.45"/>
    <s v="New"/>
    <s v="Debit Card"/>
  </r>
  <r>
    <x v="250"/>
    <x v="231"/>
    <n v="2024"/>
    <x v="9"/>
    <s v="Udaipur"/>
    <x v="17"/>
    <x v="0"/>
    <n v="1"/>
    <n v="175.09"/>
    <n v="175.09"/>
    <n v="152.16999999999999"/>
    <n v="22.92"/>
    <s v="New"/>
    <s v="Credit Card"/>
  </r>
  <r>
    <x v="251"/>
    <x v="195"/>
    <n v="2024"/>
    <x v="1"/>
    <s v="Warangal"/>
    <x v="22"/>
    <x v="4"/>
    <n v="18"/>
    <n v="114.62"/>
    <n v="2063.16"/>
    <n v="88.4"/>
    <n v="471.96"/>
    <s v="New"/>
    <s v="UPI"/>
  </r>
  <r>
    <x v="252"/>
    <x v="4"/>
    <n v="2023"/>
    <x v="2"/>
    <s v="Lucknow"/>
    <x v="9"/>
    <x v="1"/>
    <n v="3"/>
    <n v="93.42"/>
    <n v="280.26"/>
    <n v="68.209999999999994"/>
    <n v="75.63"/>
    <s v="New"/>
    <s v="UPI"/>
  </r>
  <r>
    <x v="253"/>
    <x v="41"/>
    <n v="2023"/>
    <x v="2"/>
    <s v="Noida"/>
    <x v="21"/>
    <x v="5"/>
    <n v="15"/>
    <n v="108.55"/>
    <n v="1628.25"/>
    <n v="72.13"/>
    <n v="546.29999999999995"/>
    <s v="Returning"/>
    <s v="Credit Card"/>
  </r>
  <r>
    <x v="254"/>
    <x v="232"/>
    <n v="2022"/>
    <x v="3"/>
    <s v="Surat"/>
    <x v="13"/>
    <x v="5"/>
    <n v="6"/>
    <n v="98.64"/>
    <n v="591.84"/>
    <n v="59.87"/>
    <n v="232.62"/>
    <s v="New"/>
    <s v="Credit Card"/>
  </r>
  <r>
    <x v="255"/>
    <x v="233"/>
    <n v="2022"/>
    <x v="2"/>
    <s v="Noida"/>
    <x v="19"/>
    <x v="2"/>
    <n v="14"/>
    <n v="21.01"/>
    <n v="294.14"/>
    <n v="12.72"/>
    <n v="116.06"/>
    <s v="New"/>
    <s v="Debit Card"/>
  </r>
  <r>
    <x v="256"/>
    <x v="234"/>
    <n v="2022"/>
    <x v="2"/>
    <s v="Noida"/>
    <x v="2"/>
    <x v="2"/>
    <n v="19"/>
    <n v="39.090000000000003"/>
    <n v="742.71"/>
    <n v="26.56"/>
    <n v="238.07"/>
    <s v="Regular"/>
    <s v="Credit Card"/>
  </r>
  <r>
    <x v="257"/>
    <x v="235"/>
    <n v="2022"/>
    <x v="6"/>
    <s v="Mysore"/>
    <x v="19"/>
    <x v="2"/>
    <n v="10"/>
    <n v="182.85"/>
    <n v="1828.5"/>
    <n v="154.55000000000001"/>
    <n v="283"/>
    <s v="Regular"/>
    <s v="Cash on Delivery"/>
  </r>
  <r>
    <x v="258"/>
    <x v="65"/>
    <n v="2023"/>
    <x v="9"/>
    <s v="Udaipur"/>
    <x v="13"/>
    <x v="5"/>
    <n v="11"/>
    <n v="161.51"/>
    <n v="1776.61"/>
    <n v="108.45"/>
    <n v="583.66"/>
    <s v="Regular"/>
    <s v="Debit Card"/>
  </r>
  <r>
    <x v="259"/>
    <x v="236"/>
    <n v="2024"/>
    <x v="2"/>
    <s v="Noida"/>
    <x v="3"/>
    <x v="3"/>
    <n v="14"/>
    <n v="134.47"/>
    <n v="1882.58"/>
    <n v="86.8"/>
    <n v="667.38"/>
    <s v="New"/>
    <s v="Debit Card"/>
  </r>
  <r>
    <x v="260"/>
    <x v="237"/>
    <n v="2022"/>
    <x v="6"/>
    <s v="Bangalore"/>
    <x v="11"/>
    <x v="3"/>
    <n v="18"/>
    <n v="181.5"/>
    <n v="3267"/>
    <n v="152.36000000000001"/>
    <n v="524.52"/>
    <s v="Regular"/>
    <s v="Credit Card"/>
  </r>
  <r>
    <x v="261"/>
    <x v="238"/>
    <n v="2023"/>
    <x v="5"/>
    <s v="Pune"/>
    <x v="1"/>
    <x v="1"/>
    <n v="12"/>
    <n v="192.22"/>
    <n v="2306.64"/>
    <n v="167.68"/>
    <n v="294.48"/>
    <s v="Regular"/>
    <s v="UPI"/>
  </r>
  <r>
    <x v="262"/>
    <x v="239"/>
    <n v="2022"/>
    <x v="0"/>
    <s v="Chennai"/>
    <x v="3"/>
    <x v="3"/>
    <n v="5"/>
    <n v="139.38"/>
    <n v="696.9"/>
    <n v="123.5"/>
    <n v="79.400000000000006"/>
    <s v="Regular"/>
    <s v="Debit Card"/>
  </r>
  <r>
    <x v="263"/>
    <x v="240"/>
    <n v="2023"/>
    <x v="5"/>
    <s v="Mumbai"/>
    <x v="22"/>
    <x v="4"/>
    <n v="15"/>
    <n v="55.01"/>
    <n v="825.15"/>
    <n v="43.4"/>
    <n v="174.15"/>
    <s v="Returning"/>
    <s v="Credit Card"/>
  </r>
  <r>
    <x v="264"/>
    <x v="241"/>
    <n v="2022"/>
    <x v="6"/>
    <s v="Bangalore"/>
    <x v="13"/>
    <x v="5"/>
    <n v="15"/>
    <n v="174.09"/>
    <n v="2611.35"/>
    <n v="126.11"/>
    <n v="719.7"/>
    <s v="New"/>
    <s v="UPI"/>
  </r>
  <r>
    <x v="265"/>
    <x v="83"/>
    <n v="2024"/>
    <x v="4"/>
    <s v="New Delhi"/>
    <x v="5"/>
    <x v="4"/>
    <n v="10"/>
    <n v="22.98"/>
    <n v="229.8"/>
    <n v="20.09"/>
    <n v="28.9"/>
    <s v="Returning"/>
    <s v="UPI"/>
  </r>
  <r>
    <x v="266"/>
    <x v="242"/>
    <n v="2024"/>
    <x v="3"/>
    <s v="Surat"/>
    <x v="14"/>
    <x v="0"/>
    <n v="9"/>
    <n v="34.520000000000003"/>
    <n v="310.68"/>
    <n v="26.04"/>
    <n v="76.319999999999993"/>
    <s v="Returning"/>
    <s v="Credit Card"/>
  </r>
  <r>
    <x v="267"/>
    <x v="243"/>
    <n v="2023"/>
    <x v="1"/>
    <s v="Warangal"/>
    <x v="1"/>
    <x v="1"/>
    <n v="7"/>
    <n v="169.9"/>
    <n v="1189.3"/>
    <n v="136.88"/>
    <n v="231.14"/>
    <s v="New"/>
    <s v="Credit Card"/>
  </r>
  <r>
    <x v="268"/>
    <x v="244"/>
    <n v="2023"/>
    <x v="6"/>
    <s v="Mysore"/>
    <x v="23"/>
    <x v="3"/>
    <n v="17"/>
    <n v="90.49"/>
    <n v="1538.33"/>
    <n v="56.4"/>
    <n v="579.53"/>
    <s v="Returning"/>
    <s v="UPI"/>
  </r>
  <r>
    <x v="269"/>
    <x v="98"/>
    <n v="2023"/>
    <x v="6"/>
    <s v="Bangalore"/>
    <x v="6"/>
    <x v="5"/>
    <n v="3"/>
    <n v="108.68"/>
    <n v="326.04000000000002"/>
    <n v="90.04"/>
    <n v="55.92"/>
    <s v="Returning"/>
    <s v="Cash on Delivery"/>
  </r>
  <r>
    <x v="270"/>
    <x v="245"/>
    <n v="2024"/>
    <x v="6"/>
    <s v="Bangalore"/>
    <x v="22"/>
    <x v="4"/>
    <n v="5"/>
    <n v="39"/>
    <n v="195"/>
    <n v="26.95"/>
    <n v="60.25"/>
    <s v="Regular"/>
    <s v="UPI"/>
  </r>
  <r>
    <x v="271"/>
    <x v="246"/>
    <n v="2024"/>
    <x v="5"/>
    <s v="Mumbai"/>
    <x v="16"/>
    <x v="5"/>
    <n v="1"/>
    <n v="198.52"/>
    <n v="198.52"/>
    <n v="158.47"/>
    <n v="40.049999999999997"/>
    <s v="Returning"/>
    <s v="Credit Card"/>
  </r>
  <r>
    <x v="272"/>
    <x v="74"/>
    <n v="2024"/>
    <x v="8"/>
    <s v="Kolkata"/>
    <x v="22"/>
    <x v="4"/>
    <n v="2"/>
    <n v="93.18"/>
    <n v="186.36"/>
    <n v="59.12"/>
    <n v="68.12"/>
    <s v="Returning"/>
    <s v="UPI"/>
  </r>
  <r>
    <x v="273"/>
    <x v="247"/>
    <n v="2022"/>
    <x v="9"/>
    <s v="Jaipur"/>
    <x v="5"/>
    <x v="4"/>
    <n v="17"/>
    <n v="79.040000000000006"/>
    <n v="1343.68"/>
    <n v="65.94"/>
    <n v="222.7"/>
    <s v="Regular"/>
    <s v="Cash on Delivery"/>
  </r>
  <r>
    <x v="274"/>
    <x v="248"/>
    <n v="2022"/>
    <x v="2"/>
    <s v="Lucknow"/>
    <x v="15"/>
    <x v="1"/>
    <n v="3"/>
    <n v="94.01"/>
    <n v="282.02999999999997"/>
    <n v="63.84"/>
    <n v="90.51"/>
    <s v="Regular"/>
    <s v="UPI"/>
  </r>
  <r>
    <x v="275"/>
    <x v="249"/>
    <n v="2022"/>
    <x v="8"/>
    <s v="Howrah"/>
    <x v="7"/>
    <x v="1"/>
    <n v="9"/>
    <n v="40.01"/>
    <n v="360.09"/>
    <n v="26.37"/>
    <n v="122.76"/>
    <s v="New"/>
    <s v="UPI"/>
  </r>
  <r>
    <x v="276"/>
    <x v="250"/>
    <n v="2023"/>
    <x v="3"/>
    <s v="Surat"/>
    <x v="21"/>
    <x v="5"/>
    <n v="13"/>
    <n v="167.52"/>
    <n v="2177.7600000000002"/>
    <n v="146.71"/>
    <n v="270.52999999999997"/>
    <s v="Returning"/>
    <s v="Cash on Delivery"/>
  </r>
  <r>
    <x v="277"/>
    <x v="251"/>
    <n v="2023"/>
    <x v="4"/>
    <s v="New Delhi"/>
    <x v="4"/>
    <x v="0"/>
    <n v="19"/>
    <n v="29.28"/>
    <n v="556.32000000000005"/>
    <n v="21.29"/>
    <n v="151.81"/>
    <s v="New"/>
    <s v="Debit Card"/>
  </r>
  <r>
    <x v="278"/>
    <x v="252"/>
    <n v="2024"/>
    <x v="0"/>
    <s v="Chennai"/>
    <x v="6"/>
    <x v="5"/>
    <n v="19"/>
    <n v="156.36000000000001"/>
    <n v="2970.84"/>
    <n v="99.38"/>
    <n v="1082.6199999999999"/>
    <s v="Returning"/>
    <s v="Cash on Delivery"/>
  </r>
  <r>
    <x v="279"/>
    <x v="238"/>
    <n v="2023"/>
    <x v="9"/>
    <s v="Udaipur"/>
    <x v="21"/>
    <x v="5"/>
    <n v="3"/>
    <n v="143.83000000000001"/>
    <n v="431.49"/>
    <n v="86.78"/>
    <n v="171.15"/>
    <s v="Regular"/>
    <s v="Credit Card"/>
  </r>
  <r>
    <x v="280"/>
    <x v="253"/>
    <n v="2022"/>
    <x v="9"/>
    <s v="Jaipur"/>
    <x v="13"/>
    <x v="5"/>
    <n v="11"/>
    <n v="189.89"/>
    <n v="2088.79"/>
    <n v="160.09"/>
    <n v="327.8"/>
    <s v="New"/>
    <s v="Debit Card"/>
  </r>
  <r>
    <x v="281"/>
    <x v="254"/>
    <n v="2023"/>
    <x v="7"/>
    <s v="Amritsar"/>
    <x v="8"/>
    <x v="3"/>
    <n v="16"/>
    <n v="61.76"/>
    <n v="988.16"/>
    <n v="47.14"/>
    <n v="233.92"/>
    <s v="New"/>
    <s v="UPI"/>
  </r>
  <r>
    <x v="282"/>
    <x v="255"/>
    <n v="2024"/>
    <x v="9"/>
    <s v="Jaipur"/>
    <x v="13"/>
    <x v="5"/>
    <n v="19"/>
    <n v="95.05"/>
    <n v="1805.95"/>
    <n v="72.72"/>
    <n v="424.27"/>
    <s v="New"/>
    <s v="Debit Card"/>
  </r>
  <r>
    <x v="283"/>
    <x v="256"/>
    <n v="2023"/>
    <x v="5"/>
    <s v="Nagpur"/>
    <x v="15"/>
    <x v="1"/>
    <n v="1"/>
    <n v="53.05"/>
    <n v="53.05"/>
    <n v="39.44"/>
    <n v="13.61"/>
    <s v="Regular"/>
    <s v="Cash on Delivery"/>
  </r>
  <r>
    <x v="284"/>
    <x v="163"/>
    <n v="2024"/>
    <x v="9"/>
    <s v="Jaipur"/>
    <x v="13"/>
    <x v="5"/>
    <n v="7"/>
    <n v="85.03"/>
    <n v="595.21"/>
    <n v="73.7"/>
    <n v="79.31"/>
    <s v="Returning"/>
    <s v="Credit Card"/>
  </r>
  <r>
    <x v="285"/>
    <x v="257"/>
    <n v="2023"/>
    <x v="5"/>
    <s v="Pune"/>
    <x v="4"/>
    <x v="0"/>
    <n v="16"/>
    <n v="65.040000000000006"/>
    <n v="1040.6400000000001"/>
    <n v="55.77"/>
    <n v="148.32"/>
    <s v="Returning"/>
    <s v="Credit Card"/>
  </r>
  <r>
    <x v="286"/>
    <x v="258"/>
    <n v="2022"/>
    <x v="1"/>
    <s v="Hyderabad"/>
    <x v="21"/>
    <x v="5"/>
    <n v="12"/>
    <n v="122.65"/>
    <n v="1471.8"/>
    <n v="98.26"/>
    <n v="292.68"/>
    <s v="New"/>
    <s v="Cash on Delivery"/>
  </r>
  <r>
    <x v="287"/>
    <x v="173"/>
    <n v="2023"/>
    <x v="5"/>
    <s v="Nagpur"/>
    <x v="6"/>
    <x v="5"/>
    <n v="9"/>
    <n v="134.69"/>
    <n v="1212.21"/>
    <n v="114.31"/>
    <n v="183.42"/>
    <s v="Returning"/>
    <s v="Credit Card"/>
  </r>
  <r>
    <x v="288"/>
    <x v="201"/>
    <n v="2024"/>
    <x v="6"/>
    <s v="Bangalore"/>
    <x v="17"/>
    <x v="0"/>
    <n v="11"/>
    <n v="131.69"/>
    <n v="1448.59"/>
    <n v="103.4"/>
    <n v="311.19"/>
    <s v="Returning"/>
    <s v="Credit Card"/>
  </r>
  <r>
    <x v="289"/>
    <x v="259"/>
    <n v="2022"/>
    <x v="1"/>
    <s v="Warangal"/>
    <x v="2"/>
    <x v="2"/>
    <n v="20"/>
    <n v="32.11"/>
    <n v="642.20000000000005"/>
    <n v="20.28"/>
    <n v="236.6"/>
    <s v="Regular"/>
    <s v="Credit Card"/>
  </r>
  <r>
    <x v="290"/>
    <x v="90"/>
    <n v="2022"/>
    <x v="8"/>
    <s v="Howrah"/>
    <x v="22"/>
    <x v="4"/>
    <n v="17"/>
    <n v="196.26"/>
    <n v="3336.42"/>
    <n v="166.78"/>
    <n v="501.16"/>
    <s v="Returning"/>
    <s v="UPI"/>
  </r>
  <r>
    <x v="291"/>
    <x v="260"/>
    <n v="2022"/>
    <x v="6"/>
    <s v="Bangalore"/>
    <x v="21"/>
    <x v="5"/>
    <n v="4"/>
    <n v="63.54"/>
    <n v="254.16"/>
    <n v="56.63"/>
    <n v="27.64"/>
    <s v="Regular"/>
    <s v="Debit Card"/>
  </r>
  <r>
    <x v="292"/>
    <x v="58"/>
    <n v="2023"/>
    <x v="1"/>
    <s v="Warangal"/>
    <x v="9"/>
    <x v="1"/>
    <n v="6"/>
    <n v="124.44"/>
    <n v="746.64"/>
    <n v="76.42"/>
    <n v="288.12"/>
    <s v="Returning"/>
    <s v="Debit Card"/>
  </r>
  <r>
    <x v="293"/>
    <x v="261"/>
    <n v="2022"/>
    <x v="5"/>
    <s v="Mumbai"/>
    <x v="8"/>
    <x v="3"/>
    <n v="19"/>
    <n v="181.83"/>
    <n v="3454.77"/>
    <n v="160.12"/>
    <n v="412.49"/>
    <s v="Returning"/>
    <s v="Cash on Delivery"/>
  </r>
  <r>
    <x v="294"/>
    <x v="244"/>
    <n v="2023"/>
    <x v="1"/>
    <s v="Hyderabad"/>
    <x v="12"/>
    <x v="2"/>
    <n v="11"/>
    <n v="89.63"/>
    <n v="985.93"/>
    <n v="63.65"/>
    <n v="285.77999999999997"/>
    <s v="Regular"/>
    <s v="Credit Card"/>
  </r>
  <r>
    <x v="295"/>
    <x v="262"/>
    <n v="2024"/>
    <x v="9"/>
    <s v="Udaipur"/>
    <x v="2"/>
    <x v="2"/>
    <n v="9"/>
    <n v="29.66"/>
    <n v="266.94"/>
    <n v="24.68"/>
    <n v="44.82"/>
    <s v="Returning"/>
    <s v="Debit Card"/>
  </r>
  <r>
    <x v="296"/>
    <x v="263"/>
    <n v="2023"/>
    <x v="4"/>
    <s v="New Delhi"/>
    <x v="19"/>
    <x v="2"/>
    <n v="5"/>
    <n v="127.71"/>
    <n v="638.54999999999995"/>
    <n v="95.94"/>
    <n v="158.85"/>
    <s v="Regular"/>
    <s v="Debit Card"/>
  </r>
  <r>
    <x v="297"/>
    <x v="264"/>
    <n v="2022"/>
    <x v="7"/>
    <s v="Ludhiana"/>
    <x v="8"/>
    <x v="3"/>
    <n v="20"/>
    <n v="129.84"/>
    <n v="2596.8000000000002"/>
    <n v="99.81"/>
    <n v="600.6"/>
    <s v="Regular"/>
    <s v="Debit Card"/>
  </r>
  <r>
    <x v="298"/>
    <x v="265"/>
    <n v="2024"/>
    <x v="9"/>
    <s v="Jaipur"/>
    <x v="20"/>
    <x v="2"/>
    <n v="18"/>
    <n v="199.16"/>
    <n v="3584.88"/>
    <n v="134.06"/>
    <n v="1171.8"/>
    <s v="New"/>
    <s v="Debit Card"/>
  </r>
  <r>
    <x v="299"/>
    <x v="266"/>
    <n v="2023"/>
    <x v="7"/>
    <s v="Amritsar"/>
    <x v="7"/>
    <x v="1"/>
    <n v="9"/>
    <n v="188.38"/>
    <n v="1695.42"/>
    <n v="125.16"/>
    <n v="568.98"/>
    <s v="Regular"/>
    <s v="Cash on Delivery"/>
  </r>
  <r>
    <x v="300"/>
    <x v="267"/>
    <n v="2023"/>
    <x v="2"/>
    <s v="Noida"/>
    <x v="3"/>
    <x v="3"/>
    <n v="19"/>
    <n v="166.14"/>
    <n v="3156.66"/>
    <n v="122.11"/>
    <n v="836.57"/>
    <s v="Regular"/>
    <s v="Credit Card"/>
  </r>
  <r>
    <x v="301"/>
    <x v="268"/>
    <n v="2022"/>
    <x v="9"/>
    <s v="Udaipur"/>
    <x v="10"/>
    <x v="4"/>
    <n v="11"/>
    <n v="131.06"/>
    <n v="1441.66"/>
    <n v="96.61"/>
    <n v="378.95"/>
    <s v="New"/>
    <s v="UPI"/>
  </r>
  <r>
    <x v="302"/>
    <x v="269"/>
    <n v="2023"/>
    <x v="0"/>
    <s v="Chennai"/>
    <x v="3"/>
    <x v="3"/>
    <n v="10"/>
    <n v="141.96"/>
    <n v="1419.6"/>
    <n v="100.55"/>
    <n v="414.1"/>
    <s v="New"/>
    <s v="Credit Card"/>
  </r>
  <r>
    <x v="303"/>
    <x v="270"/>
    <n v="2024"/>
    <x v="7"/>
    <s v="Ludhiana"/>
    <x v="4"/>
    <x v="0"/>
    <n v="15"/>
    <n v="117.62"/>
    <n v="1764.3"/>
    <n v="72.55"/>
    <n v="676.05"/>
    <s v="New"/>
    <s v="Cash on Delivery"/>
  </r>
  <r>
    <x v="304"/>
    <x v="271"/>
    <n v="2023"/>
    <x v="1"/>
    <s v="Hyderabad"/>
    <x v="1"/>
    <x v="1"/>
    <n v="11"/>
    <n v="199.45"/>
    <n v="2193.9499999999998"/>
    <n v="134.41999999999999"/>
    <n v="715.33"/>
    <s v="Regular"/>
    <s v="Credit Card"/>
  </r>
  <r>
    <x v="305"/>
    <x v="16"/>
    <n v="2024"/>
    <x v="6"/>
    <s v="Bangalore"/>
    <x v="3"/>
    <x v="3"/>
    <n v="17"/>
    <n v="45.25"/>
    <n v="769.25"/>
    <n v="28.65"/>
    <n v="282.2"/>
    <s v="Regular"/>
    <s v="UPI"/>
  </r>
  <r>
    <x v="306"/>
    <x v="246"/>
    <n v="2024"/>
    <x v="8"/>
    <s v="Howrah"/>
    <x v="16"/>
    <x v="5"/>
    <n v="14"/>
    <n v="54.54"/>
    <n v="763.56"/>
    <n v="42.58"/>
    <n v="167.44"/>
    <s v="New"/>
    <s v="Credit Card"/>
  </r>
  <r>
    <x v="307"/>
    <x v="272"/>
    <n v="2022"/>
    <x v="7"/>
    <s v="Amritsar"/>
    <x v="17"/>
    <x v="0"/>
    <n v="8"/>
    <n v="50.12"/>
    <n v="400.96"/>
    <n v="30.81"/>
    <n v="154.47999999999999"/>
    <s v="Regular"/>
    <s v="Cash on Delivery"/>
  </r>
  <r>
    <x v="308"/>
    <x v="40"/>
    <n v="2023"/>
    <x v="6"/>
    <s v="Bangalore"/>
    <x v="9"/>
    <x v="1"/>
    <n v="6"/>
    <n v="152.91"/>
    <n v="917.46"/>
    <n v="113.78"/>
    <n v="234.78"/>
    <s v="Returning"/>
    <s v="Credit Card"/>
  </r>
  <r>
    <x v="309"/>
    <x v="273"/>
    <n v="2023"/>
    <x v="0"/>
    <s v="Chennai"/>
    <x v="22"/>
    <x v="4"/>
    <n v="1"/>
    <n v="28.79"/>
    <n v="28.79"/>
    <n v="18.62"/>
    <n v="10.17"/>
    <s v="Regular"/>
    <s v="Cash on Delivery"/>
  </r>
  <r>
    <x v="310"/>
    <x v="274"/>
    <n v="2023"/>
    <x v="9"/>
    <s v="Udaipur"/>
    <x v="3"/>
    <x v="3"/>
    <n v="5"/>
    <n v="132.81"/>
    <n v="664.05"/>
    <n v="118.37"/>
    <n v="72.2"/>
    <s v="Regular"/>
    <s v="Credit Card"/>
  </r>
  <r>
    <x v="311"/>
    <x v="275"/>
    <n v="2024"/>
    <x v="8"/>
    <s v="Howrah"/>
    <x v="19"/>
    <x v="2"/>
    <n v="18"/>
    <n v="134.16999999999999"/>
    <n v="2415.06"/>
    <n v="98.54"/>
    <n v="641.34"/>
    <s v="Returning"/>
    <s v="Cash on Delivery"/>
  </r>
  <r>
    <x v="312"/>
    <x v="258"/>
    <n v="2022"/>
    <x v="2"/>
    <s v="Lucknow"/>
    <x v="5"/>
    <x v="4"/>
    <n v="17"/>
    <n v="37.409999999999997"/>
    <n v="635.97"/>
    <n v="27.6"/>
    <n v="166.77"/>
    <s v="Regular"/>
    <s v="UPI"/>
  </r>
  <r>
    <x v="313"/>
    <x v="276"/>
    <n v="2022"/>
    <x v="1"/>
    <s v="Warangal"/>
    <x v="9"/>
    <x v="1"/>
    <n v="7"/>
    <n v="147.30000000000001"/>
    <n v="1031.0999999999999"/>
    <n v="119.2"/>
    <n v="196.7"/>
    <s v="Returning"/>
    <s v="Credit Card"/>
  </r>
  <r>
    <x v="314"/>
    <x v="277"/>
    <n v="2024"/>
    <x v="5"/>
    <s v="Nagpur"/>
    <x v="11"/>
    <x v="3"/>
    <n v="20"/>
    <n v="36.85"/>
    <n v="737"/>
    <n v="31.6"/>
    <n v="105"/>
    <s v="Regular"/>
    <s v="UPI"/>
  </r>
  <r>
    <x v="315"/>
    <x v="278"/>
    <n v="2022"/>
    <x v="1"/>
    <s v="Warangal"/>
    <x v="19"/>
    <x v="2"/>
    <n v="14"/>
    <n v="30.95"/>
    <n v="433.3"/>
    <n v="22.94"/>
    <n v="112.14"/>
    <s v="New"/>
    <s v="Credit Card"/>
  </r>
  <r>
    <x v="316"/>
    <x v="279"/>
    <n v="2023"/>
    <x v="5"/>
    <s v="Pune"/>
    <x v="0"/>
    <x v="0"/>
    <n v="13"/>
    <n v="72.77"/>
    <n v="946.01"/>
    <n v="65.319999999999993"/>
    <n v="96.85"/>
    <s v="Regular"/>
    <s v="UPI"/>
  </r>
  <r>
    <x v="317"/>
    <x v="280"/>
    <n v="2023"/>
    <x v="8"/>
    <s v="Kolkata"/>
    <x v="1"/>
    <x v="1"/>
    <n v="7"/>
    <n v="104.53"/>
    <n v="731.71"/>
    <n v="78.53"/>
    <n v="182"/>
    <s v="Returning"/>
    <s v="Credit Card"/>
  </r>
  <r>
    <x v="318"/>
    <x v="225"/>
    <n v="2023"/>
    <x v="1"/>
    <s v="Hyderabad"/>
    <x v="15"/>
    <x v="1"/>
    <n v="19"/>
    <n v="185.57"/>
    <n v="3525.83"/>
    <n v="150.82"/>
    <n v="660.25"/>
    <s v="New"/>
    <s v="Debit Card"/>
  </r>
  <r>
    <x v="319"/>
    <x v="266"/>
    <n v="2023"/>
    <x v="9"/>
    <s v="Udaipur"/>
    <x v="21"/>
    <x v="5"/>
    <n v="3"/>
    <n v="22.96"/>
    <n v="68.88"/>
    <n v="15.74"/>
    <n v="21.66"/>
    <s v="Regular"/>
    <s v="UPI"/>
  </r>
  <r>
    <x v="320"/>
    <x v="281"/>
    <n v="2023"/>
    <x v="9"/>
    <s v="Udaipur"/>
    <x v="1"/>
    <x v="1"/>
    <n v="15"/>
    <n v="163.83000000000001"/>
    <n v="2457.4499999999998"/>
    <n v="118.21"/>
    <n v="684.3"/>
    <s v="Returning"/>
    <s v="Credit Card"/>
  </r>
  <r>
    <x v="321"/>
    <x v="282"/>
    <n v="2022"/>
    <x v="8"/>
    <s v="Kolkata"/>
    <x v="13"/>
    <x v="5"/>
    <n v="17"/>
    <n v="192.15"/>
    <n v="3266.55"/>
    <n v="152.11000000000001"/>
    <n v="680.68"/>
    <s v="Returning"/>
    <s v="UPI"/>
  </r>
  <r>
    <x v="322"/>
    <x v="283"/>
    <n v="2024"/>
    <x v="3"/>
    <s v="Surat"/>
    <x v="7"/>
    <x v="1"/>
    <n v="4"/>
    <n v="81"/>
    <n v="324"/>
    <n v="60.31"/>
    <n v="82.76"/>
    <s v="Regular"/>
    <s v="UPI"/>
  </r>
  <r>
    <x v="323"/>
    <x v="189"/>
    <n v="2024"/>
    <x v="5"/>
    <s v="Nagpur"/>
    <x v="8"/>
    <x v="3"/>
    <n v="12"/>
    <n v="73.040000000000006"/>
    <n v="876.48"/>
    <n v="47.43"/>
    <n v="307.32"/>
    <s v="Regular"/>
    <s v="Credit Card"/>
  </r>
  <r>
    <x v="324"/>
    <x v="284"/>
    <n v="2024"/>
    <x v="7"/>
    <s v="Ludhiana"/>
    <x v="8"/>
    <x v="3"/>
    <n v="13"/>
    <n v="52.69"/>
    <n v="684.97"/>
    <n v="33.58"/>
    <n v="248.43"/>
    <s v="New"/>
    <s v="UPI"/>
  </r>
  <r>
    <x v="325"/>
    <x v="40"/>
    <n v="2023"/>
    <x v="5"/>
    <s v="Pune"/>
    <x v="1"/>
    <x v="1"/>
    <n v="12"/>
    <n v="55.39"/>
    <n v="664.68"/>
    <n v="39.78"/>
    <n v="187.32"/>
    <s v="Regular"/>
    <s v="Cash on Delivery"/>
  </r>
  <r>
    <x v="326"/>
    <x v="285"/>
    <n v="2024"/>
    <x v="9"/>
    <s v="Jaipur"/>
    <x v="2"/>
    <x v="2"/>
    <n v="2"/>
    <n v="109.8"/>
    <n v="219.6"/>
    <n v="81.52"/>
    <n v="56.56"/>
    <s v="Returning"/>
    <s v="Cash on Delivery"/>
  </r>
  <r>
    <x v="327"/>
    <x v="57"/>
    <n v="2022"/>
    <x v="7"/>
    <s v="Ludhiana"/>
    <x v="5"/>
    <x v="4"/>
    <n v="14"/>
    <n v="151.15"/>
    <n v="2116.1"/>
    <n v="117.19"/>
    <n v="475.44"/>
    <s v="New"/>
    <s v="UPI"/>
  </r>
  <r>
    <x v="328"/>
    <x v="286"/>
    <n v="2022"/>
    <x v="8"/>
    <s v="Howrah"/>
    <x v="0"/>
    <x v="0"/>
    <n v="6"/>
    <n v="135.44"/>
    <n v="812.64"/>
    <n v="84.56"/>
    <n v="305.27999999999997"/>
    <s v="New"/>
    <s v="Cash on Delivery"/>
  </r>
  <r>
    <x v="329"/>
    <x v="44"/>
    <n v="2022"/>
    <x v="1"/>
    <s v="Hyderabad"/>
    <x v="12"/>
    <x v="2"/>
    <n v="1"/>
    <n v="120.93"/>
    <n v="120.93"/>
    <n v="78.39"/>
    <n v="42.54"/>
    <s v="Returning"/>
    <s v="Credit Card"/>
  </r>
  <r>
    <x v="330"/>
    <x v="287"/>
    <n v="2022"/>
    <x v="7"/>
    <s v="Amritsar"/>
    <x v="0"/>
    <x v="0"/>
    <n v="13"/>
    <n v="189.22"/>
    <n v="2459.86"/>
    <n v="141.35"/>
    <n v="622.30999999999995"/>
    <s v="New"/>
    <s v="Credit Card"/>
  </r>
  <r>
    <x v="331"/>
    <x v="288"/>
    <n v="2024"/>
    <x v="4"/>
    <s v="New Delhi"/>
    <x v="19"/>
    <x v="2"/>
    <n v="16"/>
    <n v="81.55"/>
    <n v="1304.8"/>
    <n v="58.99"/>
    <n v="360.96"/>
    <s v="Regular"/>
    <s v="Cash on Delivery"/>
  </r>
  <r>
    <x v="332"/>
    <x v="64"/>
    <n v="2024"/>
    <x v="9"/>
    <s v="Jaipur"/>
    <x v="20"/>
    <x v="2"/>
    <n v="9"/>
    <n v="101.85"/>
    <n v="916.65"/>
    <n v="89.47"/>
    <n v="111.42"/>
    <s v="Regular"/>
    <s v="Debit Card"/>
  </r>
  <r>
    <x v="333"/>
    <x v="289"/>
    <n v="2022"/>
    <x v="5"/>
    <s v="Mumbai"/>
    <x v="22"/>
    <x v="4"/>
    <n v="7"/>
    <n v="29.54"/>
    <n v="206.78"/>
    <n v="18.059999999999999"/>
    <n v="80.36"/>
    <s v="New"/>
    <s v="Debit Card"/>
  </r>
  <r>
    <x v="334"/>
    <x v="290"/>
    <n v="2023"/>
    <x v="6"/>
    <s v="Bangalore"/>
    <x v="14"/>
    <x v="0"/>
    <n v="1"/>
    <n v="175.95"/>
    <n v="175.95"/>
    <n v="109.52"/>
    <n v="66.430000000000007"/>
    <s v="New"/>
    <s v="Debit Card"/>
  </r>
  <r>
    <x v="335"/>
    <x v="119"/>
    <n v="2024"/>
    <x v="4"/>
    <s v="New Delhi"/>
    <x v="3"/>
    <x v="3"/>
    <n v="20"/>
    <n v="29.72"/>
    <n v="594.4"/>
    <n v="23.11"/>
    <n v="132.19999999999999"/>
    <s v="Regular"/>
    <s v="Debit Card"/>
  </r>
  <r>
    <x v="336"/>
    <x v="291"/>
    <n v="2024"/>
    <x v="1"/>
    <s v="Hyderabad"/>
    <x v="0"/>
    <x v="0"/>
    <n v="10"/>
    <n v="100.75"/>
    <n v="1007.5"/>
    <n v="87.49"/>
    <n v="132.6"/>
    <s v="New"/>
    <s v="UPI"/>
  </r>
  <r>
    <x v="337"/>
    <x v="135"/>
    <n v="2024"/>
    <x v="0"/>
    <s v="Coimbatore"/>
    <x v="13"/>
    <x v="5"/>
    <n v="20"/>
    <n v="110.23"/>
    <n v="2204.6"/>
    <n v="76.25"/>
    <n v="679.6"/>
    <s v="Returning"/>
    <s v="UPI"/>
  </r>
  <r>
    <x v="338"/>
    <x v="292"/>
    <n v="2024"/>
    <x v="5"/>
    <s v="Nagpur"/>
    <x v="9"/>
    <x v="1"/>
    <n v="13"/>
    <n v="107.03"/>
    <n v="1391.39"/>
    <n v="83.86"/>
    <n v="301.20999999999998"/>
    <s v="Regular"/>
    <s v="UPI"/>
  </r>
  <r>
    <x v="339"/>
    <x v="293"/>
    <n v="2024"/>
    <x v="5"/>
    <s v="Mumbai"/>
    <x v="19"/>
    <x v="2"/>
    <n v="5"/>
    <n v="47.52"/>
    <n v="237.6"/>
    <n v="37.270000000000003"/>
    <n v="51.25"/>
    <s v="New"/>
    <s v="Debit Card"/>
  </r>
  <r>
    <x v="340"/>
    <x v="294"/>
    <n v="2023"/>
    <x v="7"/>
    <s v="Amritsar"/>
    <x v="7"/>
    <x v="1"/>
    <n v="3"/>
    <n v="107.1"/>
    <n v="321.3"/>
    <n v="96.22"/>
    <n v="32.64"/>
    <s v="New"/>
    <s v="UPI"/>
  </r>
  <r>
    <x v="341"/>
    <x v="274"/>
    <n v="2023"/>
    <x v="7"/>
    <s v="Ludhiana"/>
    <x v="7"/>
    <x v="1"/>
    <n v="6"/>
    <n v="39.4"/>
    <n v="236.4"/>
    <n v="29.03"/>
    <n v="62.22"/>
    <s v="Returning"/>
    <s v="UPI"/>
  </r>
  <r>
    <x v="342"/>
    <x v="295"/>
    <n v="2022"/>
    <x v="3"/>
    <s v="Surat"/>
    <x v="20"/>
    <x v="2"/>
    <n v="11"/>
    <n v="56.12"/>
    <n v="617.32000000000005"/>
    <n v="43.08"/>
    <n v="143.44"/>
    <s v="Regular"/>
    <s v="Cash on Delivery"/>
  </r>
  <r>
    <x v="343"/>
    <x v="296"/>
    <n v="2022"/>
    <x v="7"/>
    <s v="Ludhiana"/>
    <x v="4"/>
    <x v="0"/>
    <n v="4"/>
    <n v="145.16"/>
    <n v="580.64"/>
    <n v="127.86"/>
    <n v="69.2"/>
    <s v="Regular"/>
    <s v="UPI"/>
  </r>
  <r>
    <x v="344"/>
    <x v="297"/>
    <n v="2023"/>
    <x v="4"/>
    <s v="New Delhi"/>
    <x v="10"/>
    <x v="4"/>
    <n v="16"/>
    <n v="63.83"/>
    <n v="1021.28"/>
    <n v="45.35"/>
    <n v="295.68"/>
    <s v="New"/>
    <s v="Credit Card"/>
  </r>
  <r>
    <x v="345"/>
    <x v="298"/>
    <n v="2023"/>
    <x v="0"/>
    <s v="Chennai"/>
    <x v="13"/>
    <x v="5"/>
    <n v="3"/>
    <n v="132.5"/>
    <n v="397.5"/>
    <n v="114.09"/>
    <n v="55.23"/>
    <s v="New"/>
    <s v="Cash on Delivery"/>
  </r>
  <r>
    <x v="346"/>
    <x v="299"/>
    <n v="2022"/>
    <x v="1"/>
    <s v="Hyderabad"/>
    <x v="15"/>
    <x v="1"/>
    <n v="19"/>
    <n v="195.51"/>
    <n v="3714.69"/>
    <n v="133.09"/>
    <n v="1185.98"/>
    <s v="Regular"/>
    <s v="UPI"/>
  </r>
  <r>
    <x v="347"/>
    <x v="300"/>
    <n v="2022"/>
    <x v="8"/>
    <s v="Kolkata"/>
    <x v="0"/>
    <x v="0"/>
    <n v="16"/>
    <n v="145.44999999999999"/>
    <n v="2327.1999999999998"/>
    <n v="103.22"/>
    <n v="675.68"/>
    <s v="Returning"/>
    <s v="Cash on Delivery"/>
  </r>
  <r>
    <x v="348"/>
    <x v="130"/>
    <n v="2024"/>
    <x v="0"/>
    <s v="Chennai"/>
    <x v="16"/>
    <x v="5"/>
    <n v="7"/>
    <n v="89.59"/>
    <n v="627.13"/>
    <n v="71.45"/>
    <n v="126.98"/>
    <s v="Returning"/>
    <s v="Debit Card"/>
  </r>
  <r>
    <x v="349"/>
    <x v="174"/>
    <n v="2022"/>
    <x v="9"/>
    <s v="Jaipur"/>
    <x v="9"/>
    <x v="1"/>
    <n v="3"/>
    <n v="36.86"/>
    <n v="110.58"/>
    <n v="32.82"/>
    <n v="12.12"/>
    <s v="New"/>
    <s v="Cash on Delivery"/>
  </r>
  <r>
    <x v="350"/>
    <x v="156"/>
    <n v="2022"/>
    <x v="8"/>
    <s v="Kolkata"/>
    <x v="1"/>
    <x v="1"/>
    <n v="5"/>
    <n v="174.21"/>
    <n v="871.05"/>
    <n v="126.54"/>
    <n v="238.35"/>
    <s v="Regular"/>
    <s v="Credit Card"/>
  </r>
  <r>
    <x v="351"/>
    <x v="168"/>
    <n v="2022"/>
    <x v="4"/>
    <s v="New Delhi"/>
    <x v="23"/>
    <x v="3"/>
    <n v="4"/>
    <n v="155.18"/>
    <n v="620.72"/>
    <n v="128.76"/>
    <n v="105.68"/>
    <s v="Regular"/>
    <s v="Debit Card"/>
  </r>
  <r>
    <x v="352"/>
    <x v="10"/>
    <n v="2022"/>
    <x v="5"/>
    <s v="Pune"/>
    <x v="0"/>
    <x v="0"/>
    <n v="2"/>
    <n v="62.32"/>
    <n v="124.64"/>
    <n v="46.08"/>
    <n v="32.479999999999997"/>
    <s v="Regular"/>
    <s v="Debit Card"/>
  </r>
  <r>
    <x v="353"/>
    <x v="301"/>
    <n v="2024"/>
    <x v="1"/>
    <s v="Hyderabad"/>
    <x v="15"/>
    <x v="1"/>
    <n v="15"/>
    <n v="118.61"/>
    <n v="1779.15"/>
    <n v="105.5"/>
    <n v="196.65"/>
    <s v="New"/>
    <s v="UPI"/>
  </r>
  <r>
    <x v="354"/>
    <x v="302"/>
    <n v="2024"/>
    <x v="5"/>
    <s v="Nagpur"/>
    <x v="1"/>
    <x v="1"/>
    <n v="13"/>
    <n v="102.42"/>
    <n v="1331.46"/>
    <n v="76.680000000000007"/>
    <n v="334.62"/>
    <s v="Returning"/>
    <s v="Cash on Delivery"/>
  </r>
  <r>
    <x v="355"/>
    <x v="103"/>
    <n v="2022"/>
    <x v="9"/>
    <s v="Udaipur"/>
    <x v="10"/>
    <x v="4"/>
    <n v="7"/>
    <n v="29.46"/>
    <n v="206.22"/>
    <n v="17.989999999999998"/>
    <n v="80.290000000000006"/>
    <s v="New"/>
    <s v="Debit Card"/>
  </r>
  <r>
    <x v="356"/>
    <x v="59"/>
    <n v="2023"/>
    <x v="0"/>
    <s v="Coimbatore"/>
    <x v="16"/>
    <x v="5"/>
    <n v="13"/>
    <n v="138.96"/>
    <n v="1806.48"/>
    <n v="110.56"/>
    <n v="369.2"/>
    <s v="Returning"/>
    <s v="Credit Card"/>
  </r>
  <r>
    <x v="357"/>
    <x v="303"/>
    <n v="2024"/>
    <x v="8"/>
    <s v="Kolkata"/>
    <x v="11"/>
    <x v="3"/>
    <n v="11"/>
    <n v="150.91"/>
    <n v="1660.01"/>
    <n v="134.85"/>
    <n v="176.66"/>
    <s v="Returning"/>
    <s v="Debit Card"/>
  </r>
  <r>
    <x v="358"/>
    <x v="304"/>
    <n v="2022"/>
    <x v="4"/>
    <s v="New Delhi"/>
    <x v="2"/>
    <x v="2"/>
    <n v="3"/>
    <n v="155.94"/>
    <n v="467.82"/>
    <n v="132.51"/>
    <n v="70.290000000000006"/>
    <s v="Returning"/>
    <s v="Credit Card"/>
  </r>
  <r>
    <x v="359"/>
    <x v="268"/>
    <n v="2022"/>
    <x v="1"/>
    <s v="Warangal"/>
    <x v="13"/>
    <x v="5"/>
    <n v="20"/>
    <n v="27.34"/>
    <n v="546.79999999999995"/>
    <n v="20.64"/>
    <n v="134"/>
    <s v="Returning"/>
    <s v="Cash on Delivery"/>
  </r>
  <r>
    <x v="360"/>
    <x v="305"/>
    <n v="2023"/>
    <x v="1"/>
    <s v="Warangal"/>
    <x v="12"/>
    <x v="2"/>
    <n v="15"/>
    <n v="92.15"/>
    <n v="1382.25"/>
    <n v="61.97"/>
    <n v="452.7"/>
    <s v="Regular"/>
    <s v="Credit Card"/>
  </r>
  <r>
    <x v="361"/>
    <x v="306"/>
    <n v="2024"/>
    <x v="3"/>
    <s v="Ahmedabad"/>
    <x v="12"/>
    <x v="2"/>
    <n v="17"/>
    <n v="129.82"/>
    <n v="2206.94"/>
    <n v="103.03"/>
    <n v="455.43"/>
    <s v="New"/>
    <s v="UPI"/>
  </r>
  <r>
    <x v="362"/>
    <x v="307"/>
    <n v="2024"/>
    <x v="5"/>
    <s v="Mumbai"/>
    <x v="19"/>
    <x v="2"/>
    <n v="7"/>
    <n v="129.85"/>
    <n v="908.95"/>
    <n v="112.33"/>
    <n v="122.64"/>
    <s v="New"/>
    <s v="Cash on Delivery"/>
  </r>
  <r>
    <x v="363"/>
    <x v="308"/>
    <n v="2022"/>
    <x v="1"/>
    <s v="Hyderabad"/>
    <x v="3"/>
    <x v="3"/>
    <n v="11"/>
    <n v="99.79"/>
    <n v="1097.69"/>
    <n v="74.44"/>
    <n v="278.85000000000002"/>
    <s v="New"/>
    <s v="Debit Card"/>
  </r>
  <r>
    <x v="364"/>
    <x v="309"/>
    <n v="2024"/>
    <x v="5"/>
    <s v="Pune"/>
    <x v="1"/>
    <x v="1"/>
    <n v="12"/>
    <n v="99.19"/>
    <n v="1190.28"/>
    <n v="81.27"/>
    <n v="215.04"/>
    <s v="Returning"/>
    <s v="Credit Card"/>
  </r>
  <r>
    <x v="365"/>
    <x v="310"/>
    <n v="2023"/>
    <x v="1"/>
    <s v="Hyderabad"/>
    <x v="3"/>
    <x v="3"/>
    <n v="17"/>
    <n v="82.8"/>
    <n v="1407.6"/>
    <n v="67.099999999999994"/>
    <n v="266.89999999999998"/>
    <s v="New"/>
    <s v="Debit Card"/>
  </r>
  <r>
    <x v="366"/>
    <x v="311"/>
    <n v="2022"/>
    <x v="6"/>
    <s v="Bangalore"/>
    <x v="22"/>
    <x v="4"/>
    <n v="4"/>
    <n v="71.83"/>
    <n v="287.32"/>
    <n v="62.86"/>
    <n v="35.880000000000003"/>
    <s v="Returning"/>
    <s v="UPI"/>
  </r>
  <r>
    <x v="367"/>
    <x v="85"/>
    <n v="2024"/>
    <x v="0"/>
    <s v="Chennai"/>
    <x v="19"/>
    <x v="2"/>
    <n v="8"/>
    <n v="115.88"/>
    <n v="927.04"/>
    <n v="94.14"/>
    <n v="173.92"/>
    <s v="Regular"/>
    <s v="UPI"/>
  </r>
  <r>
    <x v="368"/>
    <x v="269"/>
    <n v="2023"/>
    <x v="6"/>
    <s v="Bangalore"/>
    <x v="6"/>
    <x v="5"/>
    <n v="3"/>
    <n v="166.51"/>
    <n v="499.53"/>
    <n v="147.35"/>
    <n v="57.48"/>
    <s v="Regular"/>
    <s v="Debit Card"/>
  </r>
  <r>
    <x v="369"/>
    <x v="297"/>
    <n v="2023"/>
    <x v="4"/>
    <s v="New Delhi"/>
    <x v="21"/>
    <x v="5"/>
    <n v="10"/>
    <n v="63.7"/>
    <n v="637"/>
    <n v="50.24"/>
    <n v="134.6"/>
    <s v="Regular"/>
    <s v="Cash on Delivery"/>
  </r>
  <r>
    <x v="370"/>
    <x v="312"/>
    <n v="2024"/>
    <x v="0"/>
    <s v="Coimbatore"/>
    <x v="2"/>
    <x v="2"/>
    <n v="2"/>
    <n v="149.16"/>
    <n v="298.32"/>
    <n v="117.46"/>
    <n v="63.4"/>
    <s v="Regular"/>
    <s v="UPI"/>
  </r>
  <r>
    <x v="371"/>
    <x v="313"/>
    <n v="2023"/>
    <x v="1"/>
    <s v="Warangal"/>
    <x v="3"/>
    <x v="3"/>
    <n v="18"/>
    <n v="84.02"/>
    <n v="1512.36"/>
    <n v="74.290000000000006"/>
    <n v="175.14"/>
    <s v="Returning"/>
    <s v="Debit Card"/>
  </r>
  <r>
    <x v="372"/>
    <x v="314"/>
    <n v="2022"/>
    <x v="7"/>
    <s v="Ludhiana"/>
    <x v="17"/>
    <x v="0"/>
    <n v="20"/>
    <n v="187.19"/>
    <n v="3743.8"/>
    <n v="132.82"/>
    <n v="1087.4000000000001"/>
    <s v="New"/>
    <s v="Cash on Delivery"/>
  </r>
  <r>
    <x v="373"/>
    <x v="315"/>
    <n v="2023"/>
    <x v="2"/>
    <s v="Noida"/>
    <x v="8"/>
    <x v="3"/>
    <n v="4"/>
    <n v="153.41999999999999"/>
    <n v="613.67999999999995"/>
    <n v="134.22"/>
    <n v="76.8"/>
    <s v="New"/>
    <s v="Credit Card"/>
  </r>
  <r>
    <x v="374"/>
    <x v="316"/>
    <n v="2022"/>
    <x v="2"/>
    <s v="Noida"/>
    <x v="1"/>
    <x v="1"/>
    <n v="20"/>
    <n v="53.58"/>
    <n v="1071.5999999999999"/>
    <n v="47.26"/>
    <n v="126.4"/>
    <s v="Regular"/>
    <s v="Cash on Delivery"/>
  </r>
  <r>
    <x v="375"/>
    <x v="317"/>
    <n v="2022"/>
    <x v="4"/>
    <s v="New Delhi"/>
    <x v="5"/>
    <x v="4"/>
    <n v="20"/>
    <n v="197.78"/>
    <n v="3955.6"/>
    <n v="175.56"/>
    <n v="444.4"/>
    <s v="Regular"/>
    <s v="UPI"/>
  </r>
  <r>
    <x v="376"/>
    <x v="318"/>
    <n v="2024"/>
    <x v="2"/>
    <s v="Lucknow"/>
    <x v="8"/>
    <x v="3"/>
    <n v="14"/>
    <n v="93.44"/>
    <n v="1308.1600000000001"/>
    <n v="72.81"/>
    <n v="288.82"/>
    <s v="New"/>
    <s v="Cash on Delivery"/>
  </r>
  <r>
    <x v="377"/>
    <x v="319"/>
    <n v="2022"/>
    <x v="2"/>
    <s v="Noida"/>
    <x v="1"/>
    <x v="1"/>
    <n v="18"/>
    <n v="64.86"/>
    <n v="1167.48"/>
    <n v="42.17"/>
    <n v="408.42"/>
    <s v="Regular"/>
    <s v="Credit Card"/>
  </r>
  <r>
    <x v="378"/>
    <x v="320"/>
    <n v="2023"/>
    <x v="1"/>
    <s v="Hyderabad"/>
    <x v="8"/>
    <x v="3"/>
    <n v="19"/>
    <n v="98.22"/>
    <n v="1866.18"/>
    <n v="87.4"/>
    <n v="205.58"/>
    <s v="Regular"/>
    <s v="Cash on Delivery"/>
  </r>
  <r>
    <x v="379"/>
    <x v="321"/>
    <n v="2022"/>
    <x v="4"/>
    <s v="New Delhi"/>
    <x v="19"/>
    <x v="2"/>
    <n v="2"/>
    <n v="99.24"/>
    <n v="198.48"/>
    <n v="66.510000000000005"/>
    <n v="65.459999999999994"/>
    <s v="New"/>
    <s v="UPI"/>
  </r>
  <r>
    <x v="380"/>
    <x v="322"/>
    <n v="2024"/>
    <x v="7"/>
    <s v="Ludhiana"/>
    <x v="23"/>
    <x v="3"/>
    <n v="16"/>
    <n v="173.48"/>
    <n v="2775.68"/>
    <n v="108.9"/>
    <n v="1033.28"/>
    <s v="Returning"/>
    <s v="Debit Card"/>
  </r>
  <r>
    <x v="381"/>
    <x v="323"/>
    <n v="2024"/>
    <x v="0"/>
    <s v="Chennai"/>
    <x v="11"/>
    <x v="3"/>
    <n v="9"/>
    <n v="124.92"/>
    <n v="1124.28"/>
    <n v="105.61"/>
    <n v="173.79"/>
    <s v="Regular"/>
    <s v="Debit Card"/>
  </r>
  <r>
    <x v="382"/>
    <x v="324"/>
    <n v="2024"/>
    <x v="8"/>
    <s v="Howrah"/>
    <x v="12"/>
    <x v="2"/>
    <n v="20"/>
    <n v="70.03"/>
    <n v="1400.6"/>
    <n v="57.61"/>
    <n v="248.4"/>
    <s v="Regular"/>
    <s v="UPI"/>
  </r>
  <r>
    <x v="383"/>
    <x v="325"/>
    <n v="2024"/>
    <x v="3"/>
    <s v="Surat"/>
    <x v="9"/>
    <x v="1"/>
    <n v="2"/>
    <n v="86.89"/>
    <n v="173.78"/>
    <n v="63.48"/>
    <n v="46.82"/>
    <s v="Regular"/>
    <s v="Credit Card"/>
  </r>
  <r>
    <x v="384"/>
    <x v="326"/>
    <n v="2023"/>
    <x v="5"/>
    <s v="Mumbai"/>
    <x v="19"/>
    <x v="2"/>
    <n v="1"/>
    <n v="102.74"/>
    <n v="102.74"/>
    <n v="69.319999999999993"/>
    <n v="33.42"/>
    <s v="Regular"/>
    <s v="Debit Card"/>
  </r>
  <r>
    <x v="385"/>
    <x v="311"/>
    <n v="2022"/>
    <x v="8"/>
    <s v="Howrah"/>
    <x v="17"/>
    <x v="0"/>
    <n v="18"/>
    <n v="162.41999999999999"/>
    <n v="2923.56"/>
    <n v="119.42"/>
    <n v="774"/>
    <s v="Returning"/>
    <s v="Debit Card"/>
  </r>
  <r>
    <x v="386"/>
    <x v="122"/>
    <n v="2022"/>
    <x v="8"/>
    <s v="Howrah"/>
    <x v="12"/>
    <x v="2"/>
    <n v="2"/>
    <n v="107.81"/>
    <n v="215.62"/>
    <n v="81.25"/>
    <n v="53.12"/>
    <s v="Returning"/>
    <s v="UPI"/>
  </r>
  <r>
    <x v="387"/>
    <x v="164"/>
    <n v="2022"/>
    <x v="9"/>
    <s v="Jaipur"/>
    <x v="6"/>
    <x v="5"/>
    <n v="4"/>
    <n v="84.26"/>
    <n v="337.04"/>
    <n v="73.489999999999995"/>
    <n v="43.08"/>
    <s v="Returning"/>
    <s v="Cash on Delivery"/>
  </r>
  <r>
    <x v="388"/>
    <x v="327"/>
    <n v="2022"/>
    <x v="7"/>
    <s v="Amritsar"/>
    <x v="6"/>
    <x v="5"/>
    <n v="15"/>
    <n v="132.06"/>
    <n v="1980.9"/>
    <n v="99.78"/>
    <n v="484.2"/>
    <s v="Returning"/>
    <s v="Debit Card"/>
  </r>
  <r>
    <x v="389"/>
    <x v="328"/>
    <n v="2023"/>
    <x v="8"/>
    <s v="Howrah"/>
    <x v="18"/>
    <x v="4"/>
    <n v="10"/>
    <n v="148.79"/>
    <n v="1487.9"/>
    <n v="102.24"/>
    <n v="465.5"/>
    <s v="New"/>
    <s v="Credit Card"/>
  </r>
  <r>
    <x v="390"/>
    <x v="329"/>
    <n v="2022"/>
    <x v="6"/>
    <s v="Bangalore"/>
    <x v="14"/>
    <x v="0"/>
    <n v="19"/>
    <n v="78.569999999999993"/>
    <n v="1492.83"/>
    <n v="49.41"/>
    <n v="554.04"/>
    <s v="Regular"/>
    <s v="Debit Card"/>
  </r>
  <r>
    <x v="391"/>
    <x v="330"/>
    <n v="2022"/>
    <x v="6"/>
    <s v="Mysore"/>
    <x v="21"/>
    <x v="5"/>
    <n v="18"/>
    <n v="137.41"/>
    <n v="2473.38"/>
    <n v="106.15"/>
    <n v="562.67999999999995"/>
    <s v="Regular"/>
    <s v="UPI"/>
  </r>
  <r>
    <x v="392"/>
    <x v="17"/>
    <n v="2023"/>
    <x v="5"/>
    <s v="Nagpur"/>
    <x v="4"/>
    <x v="0"/>
    <n v="9"/>
    <n v="159.44999999999999"/>
    <n v="1435.05"/>
    <n v="97.02"/>
    <n v="561.87"/>
    <s v="Returning"/>
    <s v="Debit Card"/>
  </r>
  <r>
    <x v="393"/>
    <x v="254"/>
    <n v="2023"/>
    <x v="4"/>
    <s v="New Delhi"/>
    <x v="13"/>
    <x v="5"/>
    <n v="17"/>
    <n v="90.04"/>
    <n v="1530.68"/>
    <n v="76.569999999999993"/>
    <n v="228.99"/>
    <s v="Returning"/>
    <s v="Cash on Delivery"/>
  </r>
  <r>
    <x v="394"/>
    <x v="331"/>
    <n v="2024"/>
    <x v="2"/>
    <s v="Noida"/>
    <x v="13"/>
    <x v="5"/>
    <n v="2"/>
    <n v="76.37"/>
    <n v="152.74"/>
    <n v="53.24"/>
    <n v="46.26"/>
    <s v="Regular"/>
    <s v="Debit Card"/>
  </r>
  <r>
    <x v="395"/>
    <x v="332"/>
    <n v="2022"/>
    <x v="9"/>
    <s v="Udaipur"/>
    <x v="21"/>
    <x v="5"/>
    <n v="9"/>
    <n v="129.38999999999999"/>
    <n v="1164.51"/>
    <n v="108.61"/>
    <n v="187.02"/>
    <s v="Returning"/>
    <s v="Credit Card"/>
  </r>
  <r>
    <x v="396"/>
    <x v="333"/>
    <n v="2024"/>
    <x v="3"/>
    <s v="Surat"/>
    <x v="15"/>
    <x v="1"/>
    <n v="16"/>
    <n v="148.35"/>
    <n v="2373.6"/>
    <n v="122.43"/>
    <n v="414.72"/>
    <s v="Returning"/>
    <s v="UPI"/>
  </r>
  <r>
    <x v="397"/>
    <x v="241"/>
    <n v="2022"/>
    <x v="9"/>
    <s v="Udaipur"/>
    <x v="5"/>
    <x v="4"/>
    <n v="18"/>
    <n v="51.21"/>
    <n v="921.78"/>
    <n v="31.26"/>
    <n v="359.1"/>
    <s v="Regular"/>
    <s v="Credit Card"/>
  </r>
  <r>
    <x v="398"/>
    <x v="334"/>
    <n v="2023"/>
    <x v="1"/>
    <s v="Warangal"/>
    <x v="0"/>
    <x v="0"/>
    <n v="8"/>
    <n v="159.71"/>
    <n v="1277.68"/>
    <n v="96.43"/>
    <n v="506.24"/>
    <s v="Regular"/>
    <s v="Debit Card"/>
  </r>
  <r>
    <x v="399"/>
    <x v="27"/>
    <n v="2024"/>
    <x v="7"/>
    <s v="Ludhiana"/>
    <x v="12"/>
    <x v="2"/>
    <n v="20"/>
    <n v="42.19"/>
    <n v="843.8"/>
    <n v="28.06"/>
    <n v="282.60000000000002"/>
    <s v="New"/>
    <s v="Cash on Delivery"/>
  </r>
  <r>
    <x v="400"/>
    <x v="335"/>
    <n v="2022"/>
    <x v="2"/>
    <s v="Lucknow"/>
    <x v="21"/>
    <x v="5"/>
    <n v="2"/>
    <n v="115.5"/>
    <n v="231"/>
    <n v="95.88"/>
    <n v="39.24"/>
    <s v="New"/>
    <s v="Debit Card"/>
  </r>
  <r>
    <x v="401"/>
    <x v="336"/>
    <n v="2024"/>
    <x v="1"/>
    <s v="Hyderabad"/>
    <x v="17"/>
    <x v="0"/>
    <n v="11"/>
    <n v="189.01"/>
    <n v="2079.11"/>
    <n v="138.4"/>
    <n v="556.71"/>
    <s v="Regular"/>
    <s v="Credit Card"/>
  </r>
  <r>
    <x v="402"/>
    <x v="173"/>
    <n v="2023"/>
    <x v="0"/>
    <s v="Chennai"/>
    <x v="13"/>
    <x v="5"/>
    <n v="18"/>
    <n v="99.14"/>
    <n v="1784.52"/>
    <n v="71.599999999999994"/>
    <n v="495.72"/>
    <s v="New"/>
    <s v="Cash on Delivery"/>
  </r>
  <r>
    <x v="403"/>
    <x v="337"/>
    <n v="2024"/>
    <x v="7"/>
    <s v="Amritsar"/>
    <x v="15"/>
    <x v="1"/>
    <n v="14"/>
    <n v="127.45"/>
    <n v="1784.3"/>
    <n v="101.08"/>
    <n v="369.18"/>
    <s v="Regular"/>
    <s v="Cash on Delivery"/>
  </r>
  <r>
    <x v="404"/>
    <x v="338"/>
    <n v="2023"/>
    <x v="7"/>
    <s v="Amritsar"/>
    <x v="23"/>
    <x v="3"/>
    <n v="1"/>
    <n v="100.4"/>
    <n v="100.4"/>
    <n v="63.08"/>
    <n v="37.32"/>
    <s v="Regular"/>
    <s v="UPI"/>
  </r>
  <r>
    <x v="405"/>
    <x v="86"/>
    <n v="2024"/>
    <x v="4"/>
    <s v="New Delhi"/>
    <x v="16"/>
    <x v="5"/>
    <n v="8"/>
    <n v="54.92"/>
    <n v="439.36"/>
    <n v="40.74"/>
    <n v="113.44"/>
    <s v="Returning"/>
    <s v="Credit Card"/>
  </r>
  <r>
    <x v="406"/>
    <x v="222"/>
    <n v="2024"/>
    <x v="1"/>
    <s v="Warangal"/>
    <x v="10"/>
    <x v="4"/>
    <n v="3"/>
    <n v="153"/>
    <n v="459"/>
    <n v="125.72"/>
    <n v="81.84"/>
    <s v="Regular"/>
    <s v="Debit Card"/>
  </r>
  <r>
    <x v="407"/>
    <x v="320"/>
    <n v="2023"/>
    <x v="7"/>
    <s v="Amritsar"/>
    <x v="8"/>
    <x v="3"/>
    <n v="15"/>
    <n v="182.36"/>
    <n v="2735.4"/>
    <n v="159.47"/>
    <n v="343.35"/>
    <s v="New"/>
    <s v="Debit Card"/>
  </r>
  <r>
    <x v="408"/>
    <x v="339"/>
    <n v="2022"/>
    <x v="5"/>
    <s v="Nagpur"/>
    <x v="11"/>
    <x v="3"/>
    <n v="15"/>
    <n v="104.76"/>
    <n v="1571.4"/>
    <n v="91.55"/>
    <n v="198.15"/>
    <s v="New"/>
    <s v="UPI"/>
  </r>
  <r>
    <x v="409"/>
    <x v="340"/>
    <n v="2022"/>
    <x v="3"/>
    <s v="Surat"/>
    <x v="14"/>
    <x v="0"/>
    <n v="16"/>
    <n v="193.21"/>
    <n v="3091.36"/>
    <n v="168.25"/>
    <n v="399.36"/>
    <s v="New"/>
    <s v="Cash on Delivery"/>
  </r>
  <r>
    <x v="410"/>
    <x v="341"/>
    <n v="2023"/>
    <x v="7"/>
    <s v="Amritsar"/>
    <x v="23"/>
    <x v="3"/>
    <n v="4"/>
    <n v="74.64"/>
    <n v="298.56"/>
    <n v="64.459999999999994"/>
    <n v="40.72"/>
    <s v="New"/>
    <s v="Debit Card"/>
  </r>
  <r>
    <x v="411"/>
    <x v="342"/>
    <n v="2023"/>
    <x v="7"/>
    <s v="Ludhiana"/>
    <x v="2"/>
    <x v="2"/>
    <n v="3"/>
    <n v="34.049999999999997"/>
    <n v="102.15"/>
    <n v="30.22"/>
    <n v="11.49"/>
    <s v="Returning"/>
    <s v="Cash on Delivery"/>
  </r>
  <r>
    <x v="412"/>
    <x v="67"/>
    <n v="2024"/>
    <x v="0"/>
    <s v="Coimbatore"/>
    <x v="1"/>
    <x v="1"/>
    <n v="4"/>
    <n v="183.41"/>
    <n v="733.64"/>
    <n v="110.59"/>
    <n v="291.27999999999997"/>
    <s v="New"/>
    <s v="Debit Card"/>
  </r>
  <r>
    <x v="413"/>
    <x v="343"/>
    <n v="2023"/>
    <x v="3"/>
    <s v="Surat"/>
    <x v="4"/>
    <x v="0"/>
    <n v="1"/>
    <n v="144.62"/>
    <n v="144.62"/>
    <n v="112.32"/>
    <n v="32.299999999999997"/>
    <s v="Returning"/>
    <s v="Debit Card"/>
  </r>
  <r>
    <x v="414"/>
    <x v="324"/>
    <n v="2024"/>
    <x v="8"/>
    <s v="Howrah"/>
    <x v="22"/>
    <x v="4"/>
    <n v="10"/>
    <n v="100.73"/>
    <n v="1007.3"/>
    <n v="77.38"/>
    <n v="233.5"/>
    <s v="New"/>
    <s v="UPI"/>
  </r>
  <r>
    <x v="415"/>
    <x v="194"/>
    <n v="2024"/>
    <x v="4"/>
    <s v="New Delhi"/>
    <x v="6"/>
    <x v="5"/>
    <n v="17"/>
    <n v="89.53"/>
    <n v="1522.01"/>
    <n v="78.87"/>
    <n v="181.22"/>
    <s v="Returning"/>
    <s v="Cash on Delivery"/>
  </r>
  <r>
    <x v="416"/>
    <x v="235"/>
    <n v="2022"/>
    <x v="2"/>
    <s v="Lucknow"/>
    <x v="9"/>
    <x v="1"/>
    <n v="7"/>
    <n v="78.38"/>
    <n v="548.66"/>
    <n v="68.22"/>
    <n v="71.12"/>
    <s v="New"/>
    <s v="Debit Card"/>
  </r>
  <r>
    <x v="417"/>
    <x v="83"/>
    <n v="2024"/>
    <x v="3"/>
    <s v="Ahmedabad"/>
    <x v="0"/>
    <x v="0"/>
    <n v="1"/>
    <n v="88.19"/>
    <n v="88.19"/>
    <n v="55.45"/>
    <n v="32.74"/>
    <s v="Returning"/>
    <s v="Credit Card"/>
  </r>
  <r>
    <x v="418"/>
    <x v="153"/>
    <n v="2022"/>
    <x v="3"/>
    <s v="Ahmedabad"/>
    <x v="21"/>
    <x v="5"/>
    <n v="9"/>
    <n v="159.37"/>
    <n v="1434.33"/>
    <n v="103.84"/>
    <n v="499.77"/>
    <s v="Regular"/>
    <s v="Cash on Delivery"/>
  </r>
  <r>
    <x v="419"/>
    <x v="344"/>
    <n v="2024"/>
    <x v="1"/>
    <s v="Hyderabad"/>
    <x v="21"/>
    <x v="5"/>
    <n v="13"/>
    <n v="39.880000000000003"/>
    <n v="518.44000000000005"/>
    <n v="26.01"/>
    <n v="180.31"/>
    <s v="Returning"/>
    <s v="Debit Card"/>
  </r>
  <r>
    <x v="420"/>
    <x v="345"/>
    <n v="2024"/>
    <x v="0"/>
    <s v="Coimbatore"/>
    <x v="14"/>
    <x v="0"/>
    <n v="17"/>
    <n v="97.16"/>
    <n v="1651.72"/>
    <n v="75.77"/>
    <n v="363.63"/>
    <s v="New"/>
    <s v="Debit Card"/>
  </r>
  <r>
    <x v="421"/>
    <x v="346"/>
    <n v="2024"/>
    <x v="9"/>
    <s v="Udaipur"/>
    <x v="0"/>
    <x v="0"/>
    <n v="1"/>
    <n v="109.87"/>
    <n v="109.87"/>
    <n v="78.13"/>
    <n v="31.74"/>
    <s v="Regular"/>
    <s v="Debit Card"/>
  </r>
  <r>
    <x v="422"/>
    <x v="347"/>
    <n v="2023"/>
    <x v="8"/>
    <s v="Kolkata"/>
    <x v="13"/>
    <x v="5"/>
    <n v="3"/>
    <n v="157.79"/>
    <n v="473.37"/>
    <n v="132.52000000000001"/>
    <n v="75.81"/>
    <s v="New"/>
    <s v="UPI"/>
  </r>
  <r>
    <x v="423"/>
    <x v="333"/>
    <n v="2024"/>
    <x v="0"/>
    <s v="Chennai"/>
    <x v="12"/>
    <x v="2"/>
    <n v="3"/>
    <n v="153.85"/>
    <n v="461.55"/>
    <n v="133.74"/>
    <n v="60.33"/>
    <s v="Returning"/>
    <s v="UPI"/>
  </r>
  <r>
    <x v="424"/>
    <x v="229"/>
    <n v="2022"/>
    <x v="1"/>
    <s v="Hyderabad"/>
    <x v="16"/>
    <x v="5"/>
    <n v="17"/>
    <n v="123.16"/>
    <n v="2093.7199999999998"/>
    <n v="91.04"/>
    <n v="546.04"/>
    <s v="Returning"/>
    <s v="Debit Card"/>
  </r>
  <r>
    <x v="425"/>
    <x v="348"/>
    <n v="2024"/>
    <x v="4"/>
    <s v="New Delhi"/>
    <x v="20"/>
    <x v="2"/>
    <n v="12"/>
    <n v="126.75"/>
    <n v="1521"/>
    <n v="84.03"/>
    <n v="512.64"/>
    <s v="Regular"/>
    <s v="Cash on Delivery"/>
  </r>
  <r>
    <x v="426"/>
    <x v="3"/>
    <n v="2023"/>
    <x v="6"/>
    <s v="Bangalore"/>
    <x v="6"/>
    <x v="5"/>
    <n v="2"/>
    <n v="161.66999999999999"/>
    <n v="323.33999999999997"/>
    <n v="126.16"/>
    <n v="71.02"/>
    <s v="New"/>
    <s v="Credit Card"/>
  </r>
  <r>
    <x v="427"/>
    <x v="349"/>
    <n v="2024"/>
    <x v="3"/>
    <s v="Surat"/>
    <x v="9"/>
    <x v="1"/>
    <n v="17"/>
    <n v="135.69"/>
    <n v="2306.73"/>
    <n v="94.08"/>
    <n v="707.37"/>
    <s v="New"/>
    <s v="Cash on Delivery"/>
  </r>
  <r>
    <x v="428"/>
    <x v="83"/>
    <n v="2024"/>
    <x v="5"/>
    <s v="Nagpur"/>
    <x v="21"/>
    <x v="5"/>
    <n v="11"/>
    <n v="81.11"/>
    <n v="892.21"/>
    <n v="51.4"/>
    <n v="326.81"/>
    <s v="Regular"/>
    <s v="Cash on Delivery"/>
  </r>
  <r>
    <x v="429"/>
    <x v="350"/>
    <n v="2023"/>
    <x v="9"/>
    <s v="Udaipur"/>
    <x v="20"/>
    <x v="2"/>
    <n v="20"/>
    <n v="34.6"/>
    <n v="692"/>
    <n v="29.18"/>
    <n v="108.4"/>
    <s v="Returning"/>
    <s v="Cash on Delivery"/>
  </r>
  <r>
    <x v="430"/>
    <x v="312"/>
    <n v="2024"/>
    <x v="3"/>
    <s v="Ahmedabad"/>
    <x v="17"/>
    <x v="0"/>
    <n v="18"/>
    <n v="39"/>
    <n v="702"/>
    <n v="26.6"/>
    <n v="223.2"/>
    <s v="Regular"/>
    <s v="Credit Card"/>
  </r>
  <r>
    <x v="431"/>
    <x v="323"/>
    <n v="2024"/>
    <x v="3"/>
    <s v="Ahmedabad"/>
    <x v="0"/>
    <x v="0"/>
    <n v="4"/>
    <n v="72.81"/>
    <n v="291.24"/>
    <n v="45.37"/>
    <n v="109.76"/>
    <s v="Returning"/>
    <s v="Credit Card"/>
  </r>
  <r>
    <x v="432"/>
    <x v="125"/>
    <n v="2023"/>
    <x v="2"/>
    <s v="Noida"/>
    <x v="15"/>
    <x v="1"/>
    <n v="7"/>
    <n v="40.799999999999997"/>
    <n v="285.60000000000002"/>
    <n v="31.65"/>
    <n v="64.05"/>
    <s v="Regular"/>
    <s v="Cash on Delivery"/>
  </r>
  <r>
    <x v="433"/>
    <x v="351"/>
    <n v="2022"/>
    <x v="3"/>
    <s v="Ahmedabad"/>
    <x v="17"/>
    <x v="0"/>
    <n v="7"/>
    <n v="56.47"/>
    <n v="395.29"/>
    <n v="37.229999999999997"/>
    <n v="134.68"/>
    <s v="Regular"/>
    <s v="Credit Card"/>
  </r>
  <r>
    <x v="434"/>
    <x v="325"/>
    <n v="2024"/>
    <x v="9"/>
    <s v="Jaipur"/>
    <x v="13"/>
    <x v="5"/>
    <n v="9"/>
    <n v="131.74"/>
    <n v="1185.6600000000001"/>
    <n v="108.56"/>
    <n v="208.62"/>
    <s v="New"/>
    <s v="Debit Card"/>
  </r>
  <r>
    <x v="435"/>
    <x v="352"/>
    <n v="2024"/>
    <x v="1"/>
    <s v="Hyderabad"/>
    <x v="5"/>
    <x v="4"/>
    <n v="18"/>
    <n v="147.02000000000001"/>
    <n v="2646.36"/>
    <n v="99.01"/>
    <n v="864.18"/>
    <s v="Regular"/>
    <s v="Debit Card"/>
  </r>
  <r>
    <x v="436"/>
    <x v="353"/>
    <n v="2024"/>
    <x v="1"/>
    <s v="Warangal"/>
    <x v="9"/>
    <x v="1"/>
    <n v="20"/>
    <n v="43.27"/>
    <n v="865.4"/>
    <n v="28.74"/>
    <n v="290.60000000000002"/>
    <s v="New"/>
    <s v="Debit Card"/>
  </r>
  <r>
    <x v="437"/>
    <x v="354"/>
    <n v="2022"/>
    <x v="4"/>
    <s v="New Delhi"/>
    <x v="23"/>
    <x v="3"/>
    <n v="19"/>
    <n v="166.05"/>
    <n v="3154.95"/>
    <n v="119.01"/>
    <n v="893.76"/>
    <s v="New"/>
    <s v="Debit Card"/>
  </r>
  <r>
    <x v="438"/>
    <x v="355"/>
    <n v="2024"/>
    <x v="3"/>
    <s v="Ahmedabad"/>
    <x v="1"/>
    <x v="1"/>
    <n v="3"/>
    <n v="64.63"/>
    <n v="193.89"/>
    <n v="54.37"/>
    <n v="30.78"/>
    <s v="New"/>
    <s v="UPI"/>
  </r>
  <r>
    <x v="439"/>
    <x v="356"/>
    <n v="2023"/>
    <x v="7"/>
    <s v="Ludhiana"/>
    <x v="3"/>
    <x v="3"/>
    <n v="5"/>
    <n v="171.43"/>
    <n v="857.15"/>
    <n v="151.97"/>
    <n v="97.3"/>
    <s v="New"/>
    <s v="Cash on Delivery"/>
  </r>
  <r>
    <x v="440"/>
    <x v="357"/>
    <n v="2022"/>
    <x v="5"/>
    <s v="Mumbai"/>
    <x v="8"/>
    <x v="3"/>
    <n v="7"/>
    <n v="146.9"/>
    <n v="1028.3"/>
    <n v="113.45"/>
    <n v="234.15"/>
    <s v="Regular"/>
    <s v="Debit Card"/>
  </r>
  <r>
    <x v="441"/>
    <x v="358"/>
    <n v="2024"/>
    <x v="0"/>
    <s v="Coimbatore"/>
    <x v="4"/>
    <x v="0"/>
    <n v="9"/>
    <n v="132.71"/>
    <n v="1194.3900000000001"/>
    <n v="88.28"/>
    <n v="399.87"/>
    <s v="Returning"/>
    <s v="Cash on Delivery"/>
  </r>
  <r>
    <x v="442"/>
    <x v="356"/>
    <n v="2023"/>
    <x v="9"/>
    <s v="Udaipur"/>
    <x v="18"/>
    <x v="4"/>
    <n v="18"/>
    <n v="66.86"/>
    <n v="1203.48"/>
    <n v="49.45"/>
    <n v="313.38"/>
    <s v="New"/>
    <s v="Cash on Delivery"/>
  </r>
  <r>
    <x v="443"/>
    <x v="328"/>
    <n v="2023"/>
    <x v="5"/>
    <s v="Nagpur"/>
    <x v="18"/>
    <x v="4"/>
    <n v="8"/>
    <n v="180.15"/>
    <n v="1441.2"/>
    <n v="161.72999999999999"/>
    <n v="147.36000000000001"/>
    <s v="Regular"/>
    <s v="Cash on Delivery"/>
  </r>
  <r>
    <x v="444"/>
    <x v="359"/>
    <n v="2022"/>
    <x v="1"/>
    <s v="Hyderabad"/>
    <x v="4"/>
    <x v="0"/>
    <n v="10"/>
    <n v="122.11"/>
    <n v="1221.0999999999999"/>
    <n v="95.64"/>
    <n v="264.7"/>
    <s v="Returning"/>
    <s v="UPI"/>
  </r>
  <r>
    <x v="445"/>
    <x v="63"/>
    <n v="2023"/>
    <x v="6"/>
    <s v="Bangalore"/>
    <x v="13"/>
    <x v="5"/>
    <n v="12"/>
    <n v="105.86"/>
    <n v="1270.32"/>
    <n v="90.76"/>
    <n v="181.2"/>
    <s v="Regular"/>
    <s v="Debit Card"/>
  </r>
  <r>
    <x v="446"/>
    <x v="167"/>
    <n v="2023"/>
    <x v="3"/>
    <s v="Ahmedabad"/>
    <x v="8"/>
    <x v="3"/>
    <n v="10"/>
    <n v="190.06"/>
    <n v="1900.6"/>
    <n v="133.82"/>
    <n v="562.4"/>
    <s v="Returning"/>
    <s v="Credit Card"/>
  </r>
  <r>
    <x v="447"/>
    <x v="359"/>
    <n v="2022"/>
    <x v="6"/>
    <s v="Mysore"/>
    <x v="7"/>
    <x v="1"/>
    <n v="14"/>
    <n v="189.33"/>
    <n v="2650.62"/>
    <n v="114.08"/>
    <n v="1053.5"/>
    <s v="Regular"/>
    <s v="UPI"/>
  </r>
  <r>
    <x v="448"/>
    <x v="360"/>
    <n v="2023"/>
    <x v="4"/>
    <s v="New Delhi"/>
    <x v="2"/>
    <x v="2"/>
    <n v="14"/>
    <n v="71.67"/>
    <n v="1003.38"/>
    <n v="48.26"/>
    <n v="327.74"/>
    <s v="Regular"/>
    <s v="Debit Card"/>
  </r>
  <r>
    <x v="449"/>
    <x v="361"/>
    <n v="2023"/>
    <x v="1"/>
    <s v="Hyderabad"/>
    <x v="19"/>
    <x v="2"/>
    <n v="13"/>
    <n v="113.83"/>
    <n v="1479.79"/>
    <n v="94.96"/>
    <n v="245.31"/>
    <s v="New"/>
    <s v="UPI"/>
  </r>
  <r>
    <x v="450"/>
    <x v="261"/>
    <n v="2022"/>
    <x v="9"/>
    <s v="Udaipur"/>
    <x v="6"/>
    <x v="5"/>
    <n v="13"/>
    <n v="40.72"/>
    <n v="529.36"/>
    <n v="28.8"/>
    <n v="154.96"/>
    <s v="Regular"/>
    <s v="Cash on Delivery"/>
  </r>
  <r>
    <x v="451"/>
    <x v="362"/>
    <n v="2023"/>
    <x v="3"/>
    <s v="Surat"/>
    <x v="22"/>
    <x v="4"/>
    <n v="1"/>
    <n v="126.69"/>
    <n v="126.69"/>
    <n v="104.82"/>
    <n v="21.87"/>
    <s v="Regular"/>
    <s v="Cash on Delivery"/>
  </r>
  <r>
    <x v="452"/>
    <x v="363"/>
    <n v="2022"/>
    <x v="8"/>
    <s v="Kolkata"/>
    <x v="0"/>
    <x v="0"/>
    <n v="6"/>
    <n v="130.34"/>
    <n v="782.04"/>
    <n v="78.849999999999994"/>
    <n v="308.94"/>
    <s v="Regular"/>
    <s v="Debit Card"/>
  </r>
  <r>
    <x v="453"/>
    <x v="364"/>
    <n v="2022"/>
    <x v="4"/>
    <s v="New Delhi"/>
    <x v="16"/>
    <x v="5"/>
    <n v="17"/>
    <n v="189.24"/>
    <n v="3217.08"/>
    <n v="154.34"/>
    <n v="593.29999999999995"/>
    <s v="Regular"/>
    <s v="UPI"/>
  </r>
  <r>
    <x v="454"/>
    <x v="365"/>
    <n v="2024"/>
    <x v="7"/>
    <s v="Amritsar"/>
    <x v="17"/>
    <x v="0"/>
    <n v="16"/>
    <n v="36.700000000000003"/>
    <n v="587.20000000000005"/>
    <n v="29.41"/>
    <n v="116.64"/>
    <s v="Returning"/>
    <s v="Debit Card"/>
  </r>
  <r>
    <x v="455"/>
    <x v="318"/>
    <n v="2024"/>
    <x v="7"/>
    <s v="Ludhiana"/>
    <x v="2"/>
    <x v="2"/>
    <n v="4"/>
    <n v="25.69"/>
    <n v="102.76"/>
    <n v="22.49"/>
    <n v="12.8"/>
    <s v="Returning"/>
    <s v="Debit Card"/>
  </r>
  <r>
    <x v="456"/>
    <x v="317"/>
    <n v="2022"/>
    <x v="3"/>
    <s v="Ahmedabad"/>
    <x v="1"/>
    <x v="1"/>
    <n v="16"/>
    <n v="63.05"/>
    <n v="1008.8"/>
    <n v="44.21"/>
    <n v="301.44"/>
    <s v="Returning"/>
    <s v="Debit Card"/>
  </r>
  <r>
    <x v="457"/>
    <x v="153"/>
    <n v="2022"/>
    <x v="5"/>
    <s v="Nagpur"/>
    <x v="3"/>
    <x v="3"/>
    <n v="19"/>
    <n v="43.62"/>
    <n v="828.78"/>
    <n v="28.95"/>
    <n v="278.73"/>
    <s v="New"/>
    <s v="Credit Card"/>
  </r>
  <r>
    <x v="458"/>
    <x v="366"/>
    <n v="2024"/>
    <x v="7"/>
    <s v="Ludhiana"/>
    <x v="1"/>
    <x v="1"/>
    <n v="19"/>
    <n v="141.97999999999999"/>
    <n v="2697.62"/>
    <n v="117.36"/>
    <n v="467.78"/>
    <s v="Regular"/>
    <s v="UPI"/>
  </r>
  <r>
    <x v="459"/>
    <x v="7"/>
    <n v="2022"/>
    <x v="3"/>
    <s v="Surat"/>
    <x v="10"/>
    <x v="4"/>
    <n v="3"/>
    <n v="112.26"/>
    <n v="336.78"/>
    <n v="75.709999999999994"/>
    <n v="109.65"/>
    <s v="Regular"/>
    <s v="UPI"/>
  </r>
  <r>
    <x v="460"/>
    <x v="367"/>
    <n v="2022"/>
    <x v="9"/>
    <s v="Jaipur"/>
    <x v="6"/>
    <x v="5"/>
    <n v="20"/>
    <n v="55.12"/>
    <n v="1102.4000000000001"/>
    <n v="39.85"/>
    <n v="305.39999999999998"/>
    <s v="New"/>
    <s v="Cash on Delivery"/>
  </r>
  <r>
    <x v="461"/>
    <x v="368"/>
    <n v="2023"/>
    <x v="6"/>
    <s v="Bangalore"/>
    <x v="20"/>
    <x v="2"/>
    <n v="14"/>
    <n v="76.59"/>
    <n v="1072.26"/>
    <n v="51.44"/>
    <n v="352.1"/>
    <s v="New"/>
    <s v="Cash on Delivery"/>
  </r>
  <r>
    <x v="462"/>
    <x v="369"/>
    <n v="2023"/>
    <x v="3"/>
    <s v="Ahmedabad"/>
    <x v="19"/>
    <x v="2"/>
    <n v="19"/>
    <n v="195.7"/>
    <n v="3718.3"/>
    <n v="155.79"/>
    <n v="758.29"/>
    <s v="New"/>
    <s v="Debit Card"/>
  </r>
  <r>
    <x v="463"/>
    <x v="370"/>
    <n v="2024"/>
    <x v="1"/>
    <s v="Hyderabad"/>
    <x v="5"/>
    <x v="4"/>
    <n v="8"/>
    <n v="142.1"/>
    <n v="1136.8"/>
    <n v="85.8"/>
    <n v="450.4"/>
    <s v="Regular"/>
    <s v="Debit Card"/>
  </r>
  <r>
    <x v="464"/>
    <x v="371"/>
    <n v="2022"/>
    <x v="7"/>
    <s v="Amritsar"/>
    <x v="14"/>
    <x v="0"/>
    <n v="8"/>
    <n v="66.2"/>
    <n v="529.6"/>
    <n v="45.89"/>
    <n v="162.47999999999999"/>
    <s v="Regular"/>
    <s v="Credit Card"/>
  </r>
  <r>
    <x v="465"/>
    <x v="372"/>
    <n v="2022"/>
    <x v="7"/>
    <s v="Ludhiana"/>
    <x v="2"/>
    <x v="2"/>
    <n v="1"/>
    <n v="54.71"/>
    <n v="54.71"/>
    <n v="44.47"/>
    <n v="10.24"/>
    <s v="Returning"/>
    <s v="UPI"/>
  </r>
  <r>
    <x v="466"/>
    <x v="373"/>
    <n v="2024"/>
    <x v="9"/>
    <s v="Udaipur"/>
    <x v="9"/>
    <x v="1"/>
    <n v="12"/>
    <n v="124.19"/>
    <n v="1490.28"/>
    <n v="77.540000000000006"/>
    <n v="559.79999999999995"/>
    <s v="New"/>
    <s v="Credit Card"/>
  </r>
  <r>
    <x v="467"/>
    <x v="374"/>
    <n v="2024"/>
    <x v="7"/>
    <s v="Amritsar"/>
    <x v="17"/>
    <x v="0"/>
    <n v="4"/>
    <n v="155.74"/>
    <n v="622.96"/>
    <n v="119.12"/>
    <n v="146.47999999999999"/>
    <s v="Returning"/>
    <s v="Credit Card"/>
  </r>
  <r>
    <x v="468"/>
    <x v="375"/>
    <n v="2024"/>
    <x v="9"/>
    <s v="Udaipur"/>
    <x v="13"/>
    <x v="5"/>
    <n v="15"/>
    <n v="109.42"/>
    <n v="1641.3"/>
    <n v="75.400000000000006"/>
    <n v="510.3"/>
    <s v="New"/>
    <s v="Cash on Delivery"/>
  </r>
  <r>
    <x v="469"/>
    <x v="376"/>
    <n v="2022"/>
    <x v="3"/>
    <s v="Surat"/>
    <x v="23"/>
    <x v="3"/>
    <n v="8"/>
    <n v="179.24"/>
    <n v="1433.92"/>
    <n v="116.77"/>
    <n v="499.76"/>
    <s v="Regular"/>
    <s v="Credit Card"/>
  </r>
  <r>
    <x v="470"/>
    <x v="377"/>
    <n v="2024"/>
    <x v="3"/>
    <s v="Ahmedabad"/>
    <x v="21"/>
    <x v="5"/>
    <n v="3"/>
    <n v="158.71"/>
    <n v="476.13"/>
    <n v="134.34"/>
    <n v="73.11"/>
    <s v="Returning"/>
    <s v="Cash on Delivery"/>
  </r>
  <r>
    <x v="471"/>
    <x v="378"/>
    <n v="2024"/>
    <x v="7"/>
    <s v="Amritsar"/>
    <x v="23"/>
    <x v="3"/>
    <n v="1"/>
    <n v="80.150000000000006"/>
    <n v="80.150000000000006"/>
    <n v="57.64"/>
    <n v="22.51"/>
    <s v="New"/>
    <s v="Credit Card"/>
  </r>
  <r>
    <x v="472"/>
    <x v="379"/>
    <n v="2022"/>
    <x v="3"/>
    <s v="Ahmedabad"/>
    <x v="8"/>
    <x v="3"/>
    <n v="14"/>
    <n v="189.8"/>
    <n v="2657.2"/>
    <n v="166.23"/>
    <n v="329.98"/>
    <s v="Returning"/>
    <s v="Cash on Delivery"/>
  </r>
  <r>
    <x v="473"/>
    <x v="108"/>
    <n v="2024"/>
    <x v="6"/>
    <s v="Mysore"/>
    <x v="21"/>
    <x v="5"/>
    <n v="11"/>
    <n v="139.88"/>
    <n v="1538.68"/>
    <n v="101.97"/>
    <n v="417.01"/>
    <s v="New"/>
    <s v="Cash on Delivery"/>
  </r>
  <r>
    <x v="474"/>
    <x v="380"/>
    <n v="2022"/>
    <x v="6"/>
    <s v="Bangalore"/>
    <x v="9"/>
    <x v="1"/>
    <n v="2"/>
    <n v="88.67"/>
    <n v="177.34"/>
    <n v="54.03"/>
    <n v="69.28"/>
    <s v="New"/>
    <s v="UPI"/>
  </r>
  <r>
    <x v="475"/>
    <x v="252"/>
    <n v="2024"/>
    <x v="4"/>
    <s v="New Delhi"/>
    <x v="13"/>
    <x v="5"/>
    <n v="15"/>
    <n v="197.48"/>
    <n v="2962.2"/>
    <n v="171.4"/>
    <n v="391.2"/>
    <s v="New"/>
    <s v="Credit Card"/>
  </r>
  <r>
    <x v="476"/>
    <x v="381"/>
    <n v="2024"/>
    <x v="3"/>
    <s v="Ahmedabad"/>
    <x v="8"/>
    <x v="3"/>
    <n v="3"/>
    <n v="85.61"/>
    <n v="256.83"/>
    <n v="76.55"/>
    <n v="27.18"/>
    <s v="Regular"/>
    <s v="Cash on Delivery"/>
  </r>
  <r>
    <x v="477"/>
    <x v="382"/>
    <n v="2022"/>
    <x v="3"/>
    <s v="Surat"/>
    <x v="18"/>
    <x v="4"/>
    <n v="9"/>
    <n v="165.92"/>
    <n v="1493.28"/>
    <n v="122.65"/>
    <n v="389.43"/>
    <s v="Regular"/>
    <s v="Credit Card"/>
  </r>
  <r>
    <x v="478"/>
    <x v="383"/>
    <n v="2022"/>
    <x v="6"/>
    <s v="Mysore"/>
    <x v="19"/>
    <x v="2"/>
    <n v="2"/>
    <n v="196.27"/>
    <n v="392.54"/>
    <n v="157.91999999999999"/>
    <n v="76.7"/>
    <s v="New"/>
    <s v="UPI"/>
  </r>
  <r>
    <x v="479"/>
    <x v="384"/>
    <n v="2024"/>
    <x v="4"/>
    <s v="New Delhi"/>
    <x v="7"/>
    <x v="1"/>
    <n v="8"/>
    <n v="169.28"/>
    <n v="1354.24"/>
    <n v="144.06"/>
    <n v="201.76"/>
    <s v="Returning"/>
    <s v="Cash on Delivery"/>
  </r>
  <r>
    <x v="480"/>
    <x v="44"/>
    <n v="2022"/>
    <x v="3"/>
    <s v="Surat"/>
    <x v="2"/>
    <x v="2"/>
    <n v="4"/>
    <n v="199.65"/>
    <n v="798.6"/>
    <n v="169.72"/>
    <n v="119.72"/>
    <s v="New"/>
    <s v="Debit Card"/>
  </r>
  <r>
    <x v="481"/>
    <x v="385"/>
    <n v="2022"/>
    <x v="9"/>
    <s v="Udaipur"/>
    <x v="8"/>
    <x v="3"/>
    <n v="12"/>
    <n v="193.48"/>
    <n v="2321.7600000000002"/>
    <n v="154.46"/>
    <n v="468.24"/>
    <s v="Regular"/>
    <s v="Debit Card"/>
  </r>
  <r>
    <x v="482"/>
    <x v="386"/>
    <n v="2023"/>
    <x v="4"/>
    <s v="New Delhi"/>
    <x v="20"/>
    <x v="2"/>
    <n v="14"/>
    <n v="144.35"/>
    <n v="2020.9"/>
    <n v="127.43"/>
    <n v="236.88"/>
    <s v="Regular"/>
    <s v="UPI"/>
  </r>
  <r>
    <x v="483"/>
    <x v="5"/>
    <n v="2022"/>
    <x v="7"/>
    <s v="Ludhiana"/>
    <x v="22"/>
    <x v="4"/>
    <n v="11"/>
    <n v="119.1"/>
    <n v="1310.0999999999999"/>
    <n v="89.11"/>
    <n v="329.89"/>
    <s v="New"/>
    <s v="UPI"/>
  </r>
  <r>
    <x v="484"/>
    <x v="387"/>
    <n v="2022"/>
    <x v="3"/>
    <s v="Ahmedabad"/>
    <x v="0"/>
    <x v="0"/>
    <n v="13"/>
    <n v="50.55"/>
    <n v="657.15"/>
    <n v="35.659999999999997"/>
    <n v="193.57"/>
    <s v="New"/>
    <s v="Debit Card"/>
  </r>
  <r>
    <x v="485"/>
    <x v="14"/>
    <n v="2022"/>
    <x v="8"/>
    <s v="Kolkata"/>
    <x v="3"/>
    <x v="3"/>
    <n v="20"/>
    <n v="21.32"/>
    <n v="426.4"/>
    <n v="13.46"/>
    <n v="157.19999999999999"/>
    <s v="Returning"/>
    <s v="Cash on Delivery"/>
  </r>
  <r>
    <x v="486"/>
    <x v="388"/>
    <n v="2022"/>
    <x v="1"/>
    <s v="Hyderabad"/>
    <x v="15"/>
    <x v="1"/>
    <n v="9"/>
    <n v="182.71"/>
    <n v="1644.39"/>
    <n v="110.34"/>
    <n v="651.33000000000004"/>
    <s v="Regular"/>
    <s v="Credit Card"/>
  </r>
  <r>
    <x v="487"/>
    <x v="389"/>
    <n v="2024"/>
    <x v="9"/>
    <s v="Jaipur"/>
    <x v="23"/>
    <x v="3"/>
    <n v="12"/>
    <n v="23.76"/>
    <n v="285.12"/>
    <n v="20.38"/>
    <n v="40.56"/>
    <s v="New"/>
    <s v="Credit Card"/>
  </r>
  <r>
    <x v="488"/>
    <x v="100"/>
    <n v="2022"/>
    <x v="5"/>
    <s v="Pune"/>
    <x v="5"/>
    <x v="4"/>
    <n v="17"/>
    <n v="149.44"/>
    <n v="2540.48"/>
    <n v="131.78"/>
    <n v="300.22000000000003"/>
    <s v="New"/>
    <s v="UPI"/>
  </r>
  <r>
    <x v="489"/>
    <x v="390"/>
    <n v="2024"/>
    <x v="5"/>
    <s v="Nagpur"/>
    <x v="9"/>
    <x v="1"/>
    <n v="18"/>
    <n v="70.89"/>
    <n v="1276.02"/>
    <n v="50.5"/>
    <n v="367.02"/>
    <s v="Regular"/>
    <s v="Credit Card"/>
  </r>
  <r>
    <x v="490"/>
    <x v="168"/>
    <n v="2022"/>
    <x v="5"/>
    <s v="Nagpur"/>
    <x v="13"/>
    <x v="5"/>
    <n v="20"/>
    <n v="81.83"/>
    <n v="1636.6"/>
    <n v="69.87"/>
    <n v="239.2"/>
    <s v="New"/>
    <s v="Debit Card"/>
  </r>
  <r>
    <x v="491"/>
    <x v="391"/>
    <n v="2022"/>
    <x v="4"/>
    <s v="New Delhi"/>
    <x v="12"/>
    <x v="2"/>
    <n v="15"/>
    <n v="137.38"/>
    <n v="2060.6999999999998"/>
    <n v="88.38"/>
    <n v="735"/>
    <s v="Regular"/>
    <s v="Credit Card"/>
  </r>
  <r>
    <x v="492"/>
    <x v="392"/>
    <n v="2023"/>
    <x v="6"/>
    <s v="Mysore"/>
    <x v="23"/>
    <x v="3"/>
    <n v="5"/>
    <n v="73.989999999999995"/>
    <n v="369.95"/>
    <n v="64.41"/>
    <n v="47.9"/>
    <s v="New"/>
    <s v="Debit Card"/>
  </r>
  <r>
    <x v="493"/>
    <x v="393"/>
    <n v="2023"/>
    <x v="5"/>
    <s v="Nagpur"/>
    <x v="3"/>
    <x v="3"/>
    <n v="4"/>
    <n v="197.41"/>
    <n v="789.64"/>
    <n v="158.21"/>
    <n v="156.80000000000001"/>
    <s v="Regular"/>
    <s v="Credit Card"/>
  </r>
  <r>
    <x v="494"/>
    <x v="394"/>
    <n v="2024"/>
    <x v="2"/>
    <s v="Noida"/>
    <x v="10"/>
    <x v="4"/>
    <n v="1"/>
    <n v="169.9"/>
    <n v="169.9"/>
    <n v="123.44"/>
    <n v="46.46"/>
    <s v="Regular"/>
    <s v="Debit Card"/>
  </r>
  <r>
    <x v="495"/>
    <x v="395"/>
    <n v="2022"/>
    <x v="2"/>
    <s v="Noida"/>
    <x v="18"/>
    <x v="4"/>
    <n v="18"/>
    <n v="194.22"/>
    <n v="3495.96"/>
    <n v="155.33000000000001"/>
    <n v="700.02"/>
    <s v="Regular"/>
    <s v="Debit Card"/>
  </r>
  <r>
    <x v="496"/>
    <x v="396"/>
    <n v="2023"/>
    <x v="3"/>
    <s v="Ahmedabad"/>
    <x v="2"/>
    <x v="2"/>
    <n v="16"/>
    <n v="141.79"/>
    <n v="2268.64"/>
    <n v="90.44"/>
    <n v="821.6"/>
    <s v="Returning"/>
    <s v="Debit Card"/>
  </r>
  <r>
    <x v="497"/>
    <x v="397"/>
    <n v="2023"/>
    <x v="7"/>
    <s v="Ludhiana"/>
    <x v="11"/>
    <x v="3"/>
    <n v="18"/>
    <n v="197.52"/>
    <n v="3555.36"/>
    <n v="149.03"/>
    <n v="872.82"/>
    <s v="Returning"/>
    <s v="Cash on Delivery"/>
  </r>
  <r>
    <x v="498"/>
    <x v="398"/>
    <n v="2022"/>
    <x v="5"/>
    <s v="Mumbai"/>
    <x v="4"/>
    <x v="0"/>
    <n v="1"/>
    <n v="45.98"/>
    <n v="45.98"/>
    <n v="29.02"/>
    <n v="16.96"/>
    <s v="New"/>
    <s v="Credit Card"/>
  </r>
  <r>
    <x v="499"/>
    <x v="399"/>
    <n v="2022"/>
    <x v="3"/>
    <s v="Ahmedabad"/>
    <x v="17"/>
    <x v="0"/>
    <n v="18"/>
    <n v="91.58"/>
    <n v="1648.44"/>
    <n v="67.48"/>
    <n v="433.8"/>
    <s v="Regular"/>
    <s v="Cash on Delivery"/>
  </r>
  <r>
    <x v="500"/>
    <x v="400"/>
    <n v="2022"/>
    <x v="9"/>
    <s v="Udaipur"/>
    <x v="0"/>
    <x v="0"/>
    <n v="9"/>
    <n v="78.22"/>
    <n v="703.98"/>
    <n v="57.39"/>
    <n v="187.47"/>
    <s v="Regular"/>
    <s v="Credit Card"/>
  </r>
  <r>
    <x v="501"/>
    <x v="401"/>
    <n v="2022"/>
    <x v="2"/>
    <s v="Noida"/>
    <x v="11"/>
    <x v="3"/>
    <n v="5"/>
    <n v="179.93"/>
    <n v="899.65"/>
    <n v="118.99"/>
    <n v="304.7"/>
    <s v="Regular"/>
    <s v="UPI"/>
  </r>
  <r>
    <x v="502"/>
    <x v="134"/>
    <n v="2023"/>
    <x v="6"/>
    <s v="Bangalore"/>
    <x v="21"/>
    <x v="5"/>
    <n v="15"/>
    <n v="165.11"/>
    <n v="2476.65"/>
    <n v="138.66"/>
    <n v="396.75"/>
    <s v="Regular"/>
    <s v="Cash on Delivery"/>
  </r>
  <r>
    <x v="503"/>
    <x v="402"/>
    <n v="2022"/>
    <x v="1"/>
    <s v="Warangal"/>
    <x v="9"/>
    <x v="1"/>
    <n v="19"/>
    <n v="68.31"/>
    <n v="1297.8900000000001"/>
    <n v="51.33"/>
    <n v="322.62"/>
    <s v="Regular"/>
    <s v="Debit Card"/>
  </r>
  <r>
    <x v="504"/>
    <x v="295"/>
    <n v="2022"/>
    <x v="4"/>
    <s v="New Delhi"/>
    <x v="11"/>
    <x v="3"/>
    <n v="6"/>
    <n v="135.43"/>
    <n v="812.58"/>
    <n v="91.15"/>
    <n v="265.68"/>
    <s v="New"/>
    <s v="UPI"/>
  </r>
  <r>
    <x v="505"/>
    <x v="403"/>
    <n v="2022"/>
    <x v="6"/>
    <s v="Bangalore"/>
    <x v="17"/>
    <x v="0"/>
    <n v="2"/>
    <n v="29.47"/>
    <n v="58.94"/>
    <n v="22.23"/>
    <n v="14.48"/>
    <s v="Regular"/>
    <s v="Credit Card"/>
  </r>
  <r>
    <x v="506"/>
    <x v="223"/>
    <n v="2024"/>
    <x v="8"/>
    <s v="Kolkata"/>
    <x v="7"/>
    <x v="1"/>
    <n v="20"/>
    <n v="158.88999999999999"/>
    <n v="3177.8"/>
    <n v="112.28"/>
    <n v="932.2"/>
    <s v="Returning"/>
    <s v="Debit Card"/>
  </r>
  <r>
    <x v="507"/>
    <x v="18"/>
    <n v="2024"/>
    <x v="9"/>
    <s v="Jaipur"/>
    <x v="8"/>
    <x v="3"/>
    <n v="8"/>
    <n v="27.52"/>
    <n v="220.16"/>
    <n v="23.53"/>
    <n v="31.92"/>
    <s v="Regular"/>
    <s v="Credit Card"/>
  </r>
  <r>
    <x v="508"/>
    <x v="404"/>
    <n v="2024"/>
    <x v="0"/>
    <s v="Coimbatore"/>
    <x v="17"/>
    <x v="0"/>
    <n v="2"/>
    <n v="157.86000000000001"/>
    <n v="315.72000000000003"/>
    <n v="110.17"/>
    <n v="95.38"/>
    <s v="Returning"/>
    <s v="Debit Card"/>
  </r>
  <r>
    <x v="509"/>
    <x v="361"/>
    <n v="2023"/>
    <x v="1"/>
    <s v="Warangal"/>
    <x v="18"/>
    <x v="4"/>
    <n v="5"/>
    <n v="174.85"/>
    <n v="874.25"/>
    <n v="126.97"/>
    <n v="239.4"/>
    <s v="Returning"/>
    <s v="Debit Card"/>
  </r>
  <r>
    <x v="510"/>
    <x v="141"/>
    <n v="2023"/>
    <x v="5"/>
    <s v="Nagpur"/>
    <x v="2"/>
    <x v="2"/>
    <n v="1"/>
    <n v="74.27"/>
    <n v="74.27"/>
    <n v="54.43"/>
    <n v="19.84"/>
    <s v="Regular"/>
    <s v="Credit Card"/>
  </r>
  <r>
    <x v="511"/>
    <x v="226"/>
    <n v="2023"/>
    <x v="6"/>
    <s v="Bangalore"/>
    <x v="23"/>
    <x v="3"/>
    <n v="19"/>
    <n v="194.17"/>
    <n v="3689.23"/>
    <n v="163.59"/>
    <n v="581.02"/>
    <s v="Returning"/>
    <s v="Credit Card"/>
  </r>
  <r>
    <x v="512"/>
    <x v="405"/>
    <n v="2022"/>
    <x v="1"/>
    <s v="Warangal"/>
    <x v="5"/>
    <x v="4"/>
    <n v="15"/>
    <n v="58.06"/>
    <n v="870.9"/>
    <n v="36.6"/>
    <n v="321.89999999999998"/>
    <s v="Regular"/>
    <s v="UPI"/>
  </r>
  <r>
    <x v="513"/>
    <x v="227"/>
    <n v="2023"/>
    <x v="2"/>
    <s v="Noida"/>
    <x v="2"/>
    <x v="2"/>
    <n v="10"/>
    <n v="79.77"/>
    <n v="797.7"/>
    <n v="70.11"/>
    <n v="96.6"/>
    <s v="New"/>
    <s v="UPI"/>
  </r>
  <r>
    <x v="514"/>
    <x v="31"/>
    <n v="2024"/>
    <x v="3"/>
    <s v="Surat"/>
    <x v="0"/>
    <x v="0"/>
    <n v="12"/>
    <n v="121.28"/>
    <n v="1455.36"/>
    <n v="87.64"/>
    <n v="403.68"/>
    <s v="Regular"/>
    <s v="Credit Card"/>
  </r>
  <r>
    <x v="515"/>
    <x v="214"/>
    <n v="2022"/>
    <x v="3"/>
    <s v="Surat"/>
    <x v="11"/>
    <x v="3"/>
    <n v="7"/>
    <n v="175.94"/>
    <n v="1231.58"/>
    <n v="142.99"/>
    <n v="230.65"/>
    <s v="New"/>
    <s v="Credit Card"/>
  </r>
  <r>
    <x v="516"/>
    <x v="406"/>
    <n v="2023"/>
    <x v="0"/>
    <s v="Coimbatore"/>
    <x v="14"/>
    <x v="0"/>
    <n v="15"/>
    <n v="29.71"/>
    <n v="445.65"/>
    <n v="20.73"/>
    <n v="134.69999999999999"/>
    <s v="Returning"/>
    <s v="Credit Card"/>
  </r>
  <r>
    <x v="517"/>
    <x v="41"/>
    <n v="2023"/>
    <x v="7"/>
    <s v="Amritsar"/>
    <x v="13"/>
    <x v="5"/>
    <n v="4"/>
    <n v="94.44"/>
    <n v="377.76"/>
    <n v="63.68"/>
    <n v="123.04"/>
    <s v="Returning"/>
    <s v="Debit Card"/>
  </r>
  <r>
    <x v="518"/>
    <x v="407"/>
    <n v="2024"/>
    <x v="9"/>
    <s v="Jaipur"/>
    <x v="14"/>
    <x v="0"/>
    <n v="2"/>
    <n v="32.21"/>
    <n v="64.42"/>
    <n v="23.77"/>
    <n v="16.88"/>
    <s v="Returning"/>
    <s v="Debit Card"/>
  </r>
  <r>
    <x v="519"/>
    <x v="248"/>
    <n v="2022"/>
    <x v="6"/>
    <s v="Bangalore"/>
    <x v="4"/>
    <x v="0"/>
    <n v="20"/>
    <n v="114.26"/>
    <n v="2285.1999999999998"/>
    <n v="92.72"/>
    <n v="430.8"/>
    <s v="New"/>
    <s v="Cash on Delivery"/>
  </r>
  <r>
    <x v="520"/>
    <x v="101"/>
    <n v="2022"/>
    <x v="4"/>
    <s v="New Delhi"/>
    <x v="6"/>
    <x v="5"/>
    <n v="16"/>
    <n v="113.71"/>
    <n v="1819.36"/>
    <n v="90.81"/>
    <n v="366.4"/>
    <s v="Returning"/>
    <s v="Debit Card"/>
  </r>
  <r>
    <x v="521"/>
    <x v="120"/>
    <n v="2023"/>
    <x v="1"/>
    <s v="Hyderabad"/>
    <x v="10"/>
    <x v="4"/>
    <n v="11"/>
    <n v="63.74"/>
    <n v="701.14"/>
    <n v="49.99"/>
    <n v="151.25"/>
    <s v="New"/>
    <s v="Debit Card"/>
  </r>
  <r>
    <x v="522"/>
    <x v="408"/>
    <n v="2023"/>
    <x v="4"/>
    <s v="New Delhi"/>
    <x v="7"/>
    <x v="1"/>
    <n v="14"/>
    <n v="84.9"/>
    <n v="1188.5999999999999"/>
    <n v="61.49"/>
    <n v="327.74"/>
    <s v="Regular"/>
    <s v="Cash on Delivery"/>
  </r>
  <r>
    <x v="523"/>
    <x v="179"/>
    <n v="2022"/>
    <x v="2"/>
    <s v="Noida"/>
    <x v="21"/>
    <x v="5"/>
    <n v="9"/>
    <n v="93.7"/>
    <n v="843.3"/>
    <n v="73.14"/>
    <n v="185.04"/>
    <s v="Returning"/>
    <s v="Debit Card"/>
  </r>
  <r>
    <x v="524"/>
    <x v="116"/>
    <n v="2022"/>
    <x v="3"/>
    <s v="Surat"/>
    <x v="2"/>
    <x v="2"/>
    <n v="5"/>
    <n v="135.31"/>
    <n v="676.55"/>
    <n v="105.4"/>
    <n v="149.55000000000001"/>
    <s v="New"/>
    <s v="UPI"/>
  </r>
  <r>
    <x v="525"/>
    <x v="409"/>
    <n v="2022"/>
    <x v="2"/>
    <s v="Noida"/>
    <x v="9"/>
    <x v="1"/>
    <n v="16"/>
    <n v="56.01"/>
    <n v="896.16"/>
    <n v="43.11"/>
    <n v="206.4"/>
    <s v="Regular"/>
    <s v="Cash on Delivery"/>
  </r>
  <r>
    <x v="526"/>
    <x v="170"/>
    <n v="2024"/>
    <x v="4"/>
    <s v="New Delhi"/>
    <x v="0"/>
    <x v="0"/>
    <n v="15"/>
    <n v="137.97999999999999"/>
    <n v="2069.6999999999998"/>
    <n v="103.8"/>
    <n v="512.70000000000005"/>
    <s v="Returning"/>
    <s v="Debit Card"/>
  </r>
  <r>
    <x v="527"/>
    <x v="410"/>
    <n v="2023"/>
    <x v="6"/>
    <s v="Bangalore"/>
    <x v="9"/>
    <x v="1"/>
    <n v="6"/>
    <n v="115.66"/>
    <n v="693.96"/>
    <n v="97.45"/>
    <n v="109.26"/>
    <s v="New"/>
    <s v="Credit Card"/>
  </r>
  <r>
    <x v="528"/>
    <x v="332"/>
    <n v="2022"/>
    <x v="9"/>
    <s v="Udaipur"/>
    <x v="4"/>
    <x v="0"/>
    <n v="1"/>
    <n v="96.29"/>
    <n v="96.29"/>
    <n v="76"/>
    <n v="20.29"/>
    <s v="New"/>
    <s v="Cash on Delivery"/>
  </r>
  <r>
    <x v="529"/>
    <x v="411"/>
    <n v="2023"/>
    <x v="4"/>
    <s v="New Delhi"/>
    <x v="8"/>
    <x v="3"/>
    <n v="14"/>
    <n v="185.79"/>
    <n v="2601.06"/>
    <n v="114.98"/>
    <n v="991.34"/>
    <s v="Regular"/>
    <s v="UPI"/>
  </r>
  <r>
    <x v="530"/>
    <x v="367"/>
    <n v="2022"/>
    <x v="4"/>
    <s v="New Delhi"/>
    <x v="5"/>
    <x v="4"/>
    <n v="10"/>
    <n v="160.44999999999999"/>
    <n v="1604.5"/>
    <n v="116.68"/>
    <n v="437.7"/>
    <s v="Returning"/>
    <s v="Debit Card"/>
  </r>
  <r>
    <x v="531"/>
    <x v="364"/>
    <n v="2022"/>
    <x v="8"/>
    <s v="Kolkata"/>
    <x v="1"/>
    <x v="1"/>
    <n v="10"/>
    <n v="161.16"/>
    <n v="1611.6"/>
    <n v="122.03"/>
    <n v="391.3"/>
    <s v="Regular"/>
    <s v="UPI"/>
  </r>
  <r>
    <x v="532"/>
    <x v="412"/>
    <n v="2023"/>
    <x v="1"/>
    <s v="Warangal"/>
    <x v="12"/>
    <x v="2"/>
    <n v="12"/>
    <n v="190.44"/>
    <n v="2285.2800000000002"/>
    <n v="121.37"/>
    <n v="828.84"/>
    <s v="New"/>
    <s v="Credit Card"/>
  </r>
  <r>
    <x v="533"/>
    <x v="124"/>
    <n v="2023"/>
    <x v="2"/>
    <s v="Noida"/>
    <x v="4"/>
    <x v="0"/>
    <n v="1"/>
    <n v="188.65"/>
    <n v="188.65"/>
    <n v="139.32"/>
    <n v="49.33"/>
    <s v="Regular"/>
    <s v="Debit Card"/>
  </r>
  <r>
    <x v="534"/>
    <x v="413"/>
    <n v="2023"/>
    <x v="1"/>
    <s v="Warangal"/>
    <x v="15"/>
    <x v="1"/>
    <n v="8"/>
    <n v="127.72"/>
    <n v="1021.76"/>
    <n v="92.7"/>
    <n v="280.16000000000003"/>
    <s v="New"/>
    <s v="UPI"/>
  </r>
  <r>
    <x v="535"/>
    <x v="349"/>
    <n v="2024"/>
    <x v="8"/>
    <s v="Howrah"/>
    <x v="9"/>
    <x v="1"/>
    <n v="16"/>
    <n v="108.32"/>
    <n v="1733.12"/>
    <n v="65.25"/>
    <n v="689.12"/>
    <s v="Returning"/>
    <s v="UPI"/>
  </r>
  <r>
    <x v="536"/>
    <x v="414"/>
    <n v="2023"/>
    <x v="6"/>
    <s v="Bangalore"/>
    <x v="21"/>
    <x v="5"/>
    <n v="19"/>
    <n v="86.58"/>
    <n v="1645.02"/>
    <n v="76.430000000000007"/>
    <n v="192.85"/>
    <s v="New"/>
    <s v="Debit Card"/>
  </r>
  <r>
    <x v="537"/>
    <x v="415"/>
    <n v="2024"/>
    <x v="4"/>
    <s v="New Delhi"/>
    <x v="2"/>
    <x v="2"/>
    <n v="7"/>
    <n v="151.13"/>
    <n v="1057.9100000000001"/>
    <n v="94.69"/>
    <n v="395.08"/>
    <s v="Regular"/>
    <s v="Credit Card"/>
  </r>
  <r>
    <x v="538"/>
    <x v="416"/>
    <n v="2024"/>
    <x v="0"/>
    <s v="Coimbatore"/>
    <x v="13"/>
    <x v="5"/>
    <n v="1"/>
    <n v="73.319999999999993"/>
    <n v="73.319999999999993"/>
    <n v="57.21"/>
    <n v="16.11"/>
    <s v="Returning"/>
    <s v="Cash on Delivery"/>
  </r>
  <r>
    <x v="539"/>
    <x v="318"/>
    <n v="2024"/>
    <x v="3"/>
    <s v="Surat"/>
    <x v="8"/>
    <x v="3"/>
    <n v="19"/>
    <n v="126.03"/>
    <n v="2394.5700000000002"/>
    <n v="86.09"/>
    <n v="758.86"/>
    <s v="Returning"/>
    <s v="Cash on Delivery"/>
  </r>
  <r>
    <x v="540"/>
    <x v="230"/>
    <n v="2022"/>
    <x v="7"/>
    <s v="Amritsar"/>
    <x v="18"/>
    <x v="4"/>
    <n v="6"/>
    <n v="166.34"/>
    <n v="998.04"/>
    <n v="115.26"/>
    <n v="306.48"/>
    <s v="Returning"/>
    <s v="Cash on Delivery"/>
  </r>
  <r>
    <x v="541"/>
    <x v="417"/>
    <n v="2023"/>
    <x v="9"/>
    <s v="Jaipur"/>
    <x v="2"/>
    <x v="2"/>
    <n v="17"/>
    <n v="151.11000000000001"/>
    <n v="2568.87"/>
    <n v="120.61"/>
    <n v="518.5"/>
    <s v="Regular"/>
    <s v="Credit Card"/>
  </r>
  <r>
    <x v="542"/>
    <x v="89"/>
    <n v="2024"/>
    <x v="5"/>
    <s v="Mumbai"/>
    <x v="10"/>
    <x v="4"/>
    <n v="7"/>
    <n v="115.66"/>
    <n v="809.62"/>
    <n v="102.65"/>
    <n v="91.07"/>
    <s v="Regular"/>
    <s v="Credit Card"/>
  </r>
  <r>
    <x v="543"/>
    <x v="418"/>
    <n v="2023"/>
    <x v="0"/>
    <s v="Coimbatore"/>
    <x v="4"/>
    <x v="0"/>
    <n v="18"/>
    <n v="115.63"/>
    <n v="2081.34"/>
    <n v="71.760000000000005"/>
    <n v="789.66"/>
    <s v="Regular"/>
    <s v="Credit Card"/>
  </r>
  <r>
    <x v="544"/>
    <x v="361"/>
    <n v="2023"/>
    <x v="4"/>
    <s v="New Delhi"/>
    <x v="14"/>
    <x v="0"/>
    <n v="15"/>
    <n v="28.19"/>
    <n v="422.85"/>
    <n v="20.5"/>
    <n v="115.35"/>
    <s v="Regular"/>
    <s v="UPI"/>
  </r>
  <r>
    <x v="545"/>
    <x v="419"/>
    <n v="2023"/>
    <x v="0"/>
    <s v="Coimbatore"/>
    <x v="22"/>
    <x v="4"/>
    <n v="13"/>
    <n v="142.19"/>
    <n v="1848.47"/>
    <n v="89.79"/>
    <n v="681.2"/>
    <s v="Regular"/>
    <s v="Cash on Delivery"/>
  </r>
  <r>
    <x v="546"/>
    <x v="295"/>
    <n v="2022"/>
    <x v="3"/>
    <s v="Ahmedabad"/>
    <x v="1"/>
    <x v="1"/>
    <n v="9"/>
    <n v="118.82"/>
    <n v="1069.3800000000001"/>
    <n v="83.4"/>
    <n v="318.77999999999997"/>
    <s v="New"/>
    <s v="Credit Card"/>
  </r>
  <r>
    <x v="547"/>
    <x v="420"/>
    <n v="2022"/>
    <x v="9"/>
    <s v="Jaipur"/>
    <x v="20"/>
    <x v="2"/>
    <n v="4"/>
    <n v="73.67"/>
    <n v="294.68"/>
    <n v="64.930000000000007"/>
    <n v="34.96"/>
    <s v="New"/>
    <s v="Debit Card"/>
  </r>
  <r>
    <x v="548"/>
    <x v="421"/>
    <n v="2024"/>
    <x v="7"/>
    <s v="Amritsar"/>
    <x v="9"/>
    <x v="1"/>
    <n v="8"/>
    <n v="23"/>
    <n v="184"/>
    <n v="19.91"/>
    <n v="24.72"/>
    <s v="Regular"/>
    <s v="Credit Card"/>
  </r>
  <r>
    <x v="549"/>
    <x v="357"/>
    <n v="2022"/>
    <x v="4"/>
    <s v="New Delhi"/>
    <x v="3"/>
    <x v="3"/>
    <n v="20"/>
    <n v="115.69"/>
    <n v="2313.8000000000002"/>
    <n v="88.84"/>
    <n v="537"/>
    <s v="New"/>
    <s v="Debit Card"/>
  </r>
  <r>
    <x v="550"/>
    <x v="49"/>
    <n v="2024"/>
    <x v="6"/>
    <s v="Bangalore"/>
    <x v="19"/>
    <x v="2"/>
    <n v="7"/>
    <n v="99.97"/>
    <n v="699.79"/>
    <n v="86.87"/>
    <n v="91.7"/>
    <s v="Returning"/>
    <s v="UPI"/>
  </r>
  <r>
    <x v="551"/>
    <x v="422"/>
    <n v="2022"/>
    <x v="6"/>
    <s v="Bangalore"/>
    <x v="14"/>
    <x v="0"/>
    <n v="15"/>
    <n v="193.81"/>
    <n v="2907.15"/>
    <n v="157.87"/>
    <n v="539.1"/>
    <s v="Returning"/>
    <s v="Credit Card"/>
  </r>
  <r>
    <x v="552"/>
    <x v="7"/>
    <n v="2022"/>
    <x v="1"/>
    <s v="Hyderabad"/>
    <x v="23"/>
    <x v="3"/>
    <n v="4"/>
    <n v="159.47"/>
    <n v="637.88"/>
    <n v="127.87"/>
    <n v="126.4"/>
    <s v="New"/>
    <s v="UPI"/>
  </r>
  <r>
    <x v="553"/>
    <x v="423"/>
    <n v="2023"/>
    <x v="1"/>
    <s v="Hyderabad"/>
    <x v="3"/>
    <x v="3"/>
    <n v="6"/>
    <n v="87.19"/>
    <n v="523.14"/>
    <n v="52.75"/>
    <n v="206.64"/>
    <s v="New"/>
    <s v="Cash on Delivery"/>
  </r>
  <r>
    <x v="554"/>
    <x v="424"/>
    <n v="2022"/>
    <x v="7"/>
    <s v="Amritsar"/>
    <x v="19"/>
    <x v="2"/>
    <n v="20"/>
    <n v="107.94"/>
    <n v="2158.8000000000002"/>
    <n v="66.61"/>
    <n v="826.6"/>
    <s v="New"/>
    <s v="UPI"/>
  </r>
  <r>
    <x v="555"/>
    <x v="18"/>
    <n v="2024"/>
    <x v="0"/>
    <s v="Chennai"/>
    <x v="18"/>
    <x v="4"/>
    <n v="4"/>
    <n v="134"/>
    <n v="536"/>
    <n v="106.93"/>
    <n v="108.28"/>
    <s v="New"/>
    <s v="Debit Card"/>
  </r>
  <r>
    <x v="556"/>
    <x v="40"/>
    <n v="2023"/>
    <x v="8"/>
    <s v="Howrah"/>
    <x v="19"/>
    <x v="2"/>
    <n v="11"/>
    <n v="163.38"/>
    <n v="1797.18"/>
    <n v="135.82"/>
    <n v="303.16000000000003"/>
    <s v="New"/>
    <s v="Cash on Delivery"/>
  </r>
  <r>
    <x v="557"/>
    <x v="425"/>
    <n v="2024"/>
    <x v="5"/>
    <s v="Nagpur"/>
    <x v="10"/>
    <x v="4"/>
    <n v="5"/>
    <n v="150.53"/>
    <n v="752.65"/>
    <n v="110.19"/>
    <n v="201.7"/>
    <s v="Regular"/>
    <s v="Credit Card"/>
  </r>
  <r>
    <x v="558"/>
    <x v="426"/>
    <n v="2022"/>
    <x v="8"/>
    <s v="Howrah"/>
    <x v="17"/>
    <x v="0"/>
    <n v="3"/>
    <n v="165.8"/>
    <n v="497.4"/>
    <n v="138.99"/>
    <n v="80.430000000000007"/>
    <s v="New"/>
    <s v="Debit Card"/>
  </r>
  <r>
    <x v="559"/>
    <x v="209"/>
    <n v="2022"/>
    <x v="7"/>
    <s v="Amritsar"/>
    <x v="23"/>
    <x v="3"/>
    <n v="2"/>
    <n v="181.98"/>
    <n v="363.96"/>
    <n v="159.02000000000001"/>
    <n v="45.92"/>
    <s v="Regular"/>
    <s v="Debit Card"/>
  </r>
  <r>
    <x v="560"/>
    <x v="221"/>
    <n v="2024"/>
    <x v="0"/>
    <s v="Chennai"/>
    <x v="17"/>
    <x v="0"/>
    <n v="10"/>
    <n v="25.2"/>
    <n v="252"/>
    <n v="20.71"/>
    <n v="44.9"/>
    <s v="Returning"/>
    <s v="Credit Card"/>
  </r>
  <r>
    <x v="561"/>
    <x v="239"/>
    <n v="2022"/>
    <x v="1"/>
    <s v="Warangal"/>
    <x v="11"/>
    <x v="3"/>
    <n v="17"/>
    <n v="73.59"/>
    <n v="1251.03"/>
    <n v="60.01"/>
    <n v="230.86"/>
    <s v="Returning"/>
    <s v="Credit Card"/>
  </r>
  <r>
    <x v="562"/>
    <x v="195"/>
    <n v="2024"/>
    <x v="0"/>
    <s v="Coimbatore"/>
    <x v="19"/>
    <x v="2"/>
    <n v="11"/>
    <n v="148.55000000000001"/>
    <n v="1634.05"/>
    <n v="99.54"/>
    <n v="539.11"/>
    <s v="Returning"/>
    <s v="Credit Card"/>
  </r>
  <r>
    <x v="563"/>
    <x v="371"/>
    <n v="2022"/>
    <x v="9"/>
    <s v="Udaipur"/>
    <x v="2"/>
    <x v="2"/>
    <n v="3"/>
    <n v="92.82"/>
    <n v="278.45999999999998"/>
    <n v="74.290000000000006"/>
    <n v="55.59"/>
    <s v="Returning"/>
    <s v="Cash on Delivery"/>
  </r>
  <r>
    <x v="564"/>
    <x v="230"/>
    <n v="2022"/>
    <x v="3"/>
    <s v="Surat"/>
    <x v="10"/>
    <x v="4"/>
    <n v="13"/>
    <n v="169.5"/>
    <n v="2203.5"/>
    <n v="135.87"/>
    <n v="437.19"/>
    <s v="Regular"/>
    <s v="Credit Card"/>
  </r>
  <r>
    <x v="565"/>
    <x v="427"/>
    <n v="2022"/>
    <x v="9"/>
    <s v="Jaipur"/>
    <x v="17"/>
    <x v="0"/>
    <n v="12"/>
    <n v="84.15"/>
    <n v="1009.8"/>
    <n v="64.459999999999994"/>
    <n v="236.28"/>
    <s v="Regular"/>
    <s v="Credit Card"/>
  </r>
  <r>
    <x v="566"/>
    <x v="428"/>
    <n v="2023"/>
    <x v="4"/>
    <s v="New Delhi"/>
    <x v="8"/>
    <x v="3"/>
    <n v="7"/>
    <n v="179.04"/>
    <n v="1253.28"/>
    <n v="136.47999999999999"/>
    <n v="297.92"/>
    <s v="Returning"/>
    <s v="Credit Card"/>
  </r>
  <r>
    <x v="567"/>
    <x v="429"/>
    <n v="2023"/>
    <x v="2"/>
    <s v="Lucknow"/>
    <x v="12"/>
    <x v="2"/>
    <n v="12"/>
    <n v="111.2"/>
    <n v="1334.4"/>
    <n v="75.61"/>
    <n v="427.08"/>
    <s v="New"/>
    <s v="Debit Card"/>
  </r>
  <r>
    <x v="568"/>
    <x v="393"/>
    <n v="2023"/>
    <x v="7"/>
    <s v="Ludhiana"/>
    <x v="3"/>
    <x v="3"/>
    <n v="6"/>
    <n v="67.14"/>
    <n v="402.84"/>
    <n v="55.6"/>
    <n v="69.239999999999995"/>
    <s v="Regular"/>
    <s v="Debit Card"/>
  </r>
  <r>
    <x v="569"/>
    <x v="430"/>
    <n v="2022"/>
    <x v="3"/>
    <s v="Surat"/>
    <x v="11"/>
    <x v="3"/>
    <n v="13"/>
    <n v="65.66"/>
    <n v="853.58"/>
    <n v="39.9"/>
    <n v="334.88"/>
    <s v="New"/>
    <s v="Debit Card"/>
  </r>
  <r>
    <x v="570"/>
    <x v="431"/>
    <n v="2023"/>
    <x v="7"/>
    <s v="Ludhiana"/>
    <x v="2"/>
    <x v="2"/>
    <n v="15"/>
    <n v="116.56"/>
    <n v="1748.4"/>
    <n v="75.67"/>
    <n v="613.35"/>
    <s v="Returning"/>
    <s v="Debit Card"/>
  </r>
  <r>
    <x v="571"/>
    <x v="254"/>
    <n v="2023"/>
    <x v="9"/>
    <s v="Udaipur"/>
    <x v="14"/>
    <x v="0"/>
    <n v="14"/>
    <n v="163.57"/>
    <n v="2289.98"/>
    <n v="144.24"/>
    <n v="270.62"/>
    <s v="New"/>
    <s v="UPI"/>
  </r>
  <r>
    <x v="572"/>
    <x v="93"/>
    <n v="2022"/>
    <x v="7"/>
    <s v="Amritsar"/>
    <x v="11"/>
    <x v="3"/>
    <n v="12"/>
    <n v="125.21"/>
    <n v="1502.52"/>
    <n v="101.72"/>
    <n v="281.88"/>
    <s v="Returning"/>
    <s v="Credit Card"/>
  </r>
  <r>
    <x v="573"/>
    <x v="432"/>
    <n v="2023"/>
    <x v="9"/>
    <s v="Jaipur"/>
    <x v="9"/>
    <x v="1"/>
    <n v="11"/>
    <n v="23.26"/>
    <n v="255.86"/>
    <n v="19.91"/>
    <n v="36.85"/>
    <s v="Returning"/>
    <s v="UPI"/>
  </r>
  <r>
    <x v="574"/>
    <x v="233"/>
    <n v="2022"/>
    <x v="7"/>
    <s v="Ludhiana"/>
    <x v="10"/>
    <x v="4"/>
    <n v="16"/>
    <n v="78.41"/>
    <n v="1254.56"/>
    <n v="65.88"/>
    <n v="200.48"/>
    <s v="New"/>
    <s v="UPI"/>
  </r>
  <r>
    <x v="575"/>
    <x v="143"/>
    <n v="2023"/>
    <x v="9"/>
    <s v="Udaipur"/>
    <x v="2"/>
    <x v="2"/>
    <n v="15"/>
    <n v="109.78"/>
    <n v="1646.7"/>
    <n v="86.8"/>
    <n v="344.7"/>
    <s v="Returning"/>
    <s v="Debit Card"/>
  </r>
  <r>
    <x v="576"/>
    <x v="433"/>
    <n v="2022"/>
    <x v="6"/>
    <s v="Mysore"/>
    <x v="12"/>
    <x v="2"/>
    <n v="6"/>
    <n v="94.03"/>
    <n v="564.17999999999995"/>
    <n v="61.15"/>
    <n v="197.28"/>
    <s v="Regular"/>
    <s v="Debit Card"/>
  </r>
  <r>
    <x v="577"/>
    <x v="23"/>
    <n v="2022"/>
    <x v="0"/>
    <s v="Coimbatore"/>
    <x v="10"/>
    <x v="4"/>
    <n v="1"/>
    <n v="113.27"/>
    <n v="113.27"/>
    <n v="89.13"/>
    <n v="24.14"/>
    <s v="New"/>
    <s v="UPI"/>
  </r>
  <r>
    <x v="578"/>
    <x v="300"/>
    <n v="2022"/>
    <x v="1"/>
    <s v="Hyderabad"/>
    <x v="18"/>
    <x v="4"/>
    <n v="9"/>
    <n v="93.82"/>
    <n v="844.38"/>
    <n v="65"/>
    <n v="259.38"/>
    <s v="Regular"/>
    <s v="Credit Card"/>
  </r>
  <r>
    <x v="579"/>
    <x v="291"/>
    <n v="2024"/>
    <x v="6"/>
    <s v="Bangalore"/>
    <x v="18"/>
    <x v="4"/>
    <n v="6"/>
    <n v="49.14"/>
    <n v="294.83999999999997"/>
    <n v="42.75"/>
    <n v="38.340000000000003"/>
    <s v="New"/>
    <s v="Debit Card"/>
  </r>
  <r>
    <x v="580"/>
    <x v="47"/>
    <n v="2023"/>
    <x v="0"/>
    <s v="Chennai"/>
    <x v="11"/>
    <x v="3"/>
    <n v="1"/>
    <n v="97.25"/>
    <n v="97.25"/>
    <n v="70.23"/>
    <n v="27.02"/>
    <s v="Returning"/>
    <s v="Debit Card"/>
  </r>
  <r>
    <x v="581"/>
    <x v="244"/>
    <n v="2023"/>
    <x v="0"/>
    <s v="Chennai"/>
    <x v="18"/>
    <x v="4"/>
    <n v="15"/>
    <n v="23.28"/>
    <n v="349.2"/>
    <n v="19.3"/>
    <n v="59.7"/>
    <s v="New"/>
    <s v="UPI"/>
  </r>
  <r>
    <x v="582"/>
    <x v="176"/>
    <n v="2024"/>
    <x v="1"/>
    <s v="Hyderabad"/>
    <x v="11"/>
    <x v="3"/>
    <n v="19"/>
    <n v="130.69"/>
    <n v="2483.11"/>
    <n v="78.489999999999995"/>
    <n v="991.8"/>
    <s v="New"/>
    <s v="Credit Card"/>
  </r>
  <r>
    <x v="583"/>
    <x v="16"/>
    <n v="2024"/>
    <x v="6"/>
    <s v="Mysore"/>
    <x v="4"/>
    <x v="0"/>
    <n v="19"/>
    <n v="132.76"/>
    <n v="2522.44"/>
    <n v="104.78"/>
    <n v="531.62"/>
    <s v="New"/>
    <s v="Credit Card"/>
  </r>
  <r>
    <x v="584"/>
    <x v="35"/>
    <n v="2024"/>
    <x v="0"/>
    <s v="Chennai"/>
    <x v="16"/>
    <x v="5"/>
    <n v="1"/>
    <n v="134.56"/>
    <n v="134.56"/>
    <n v="115.92"/>
    <n v="18.64"/>
    <s v="New"/>
    <s v="Credit Card"/>
  </r>
  <r>
    <x v="585"/>
    <x v="143"/>
    <n v="2023"/>
    <x v="7"/>
    <s v="Ludhiana"/>
    <x v="9"/>
    <x v="1"/>
    <n v="17"/>
    <n v="73.56"/>
    <n v="1250.52"/>
    <n v="52.5"/>
    <n v="358.02"/>
    <s v="Regular"/>
    <s v="Credit Card"/>
  </r>
  <r>
    <x v="586"/>
    <x v="434"/>
    <n v="2023"/>
    <x v="2"/>
    <s v="Lucknow"/>
    <x v="21"/>
    <x v="5"/>
    <n v="10"/>
    <n v="22.22"/>
    <n v="222.2"/>
    <n v="16.420000000000002"/>
    <n v="58"/>
    <s v="Returning"/>
    <s v="Credit Card"/>
  </r>
  <r>
    <x v="587"/>
    <x v="95"/>
    <n v="2022"/>
    <x v="0"/>
    <s v="Chennai"/>
    <x v="0"/>
    <x v="0"/>
    <n v="1"/>
    <n v="167.41"/>
    <n v="167.41"/>
    <n v="127.23"/>
    <n v="40.18"/>
    <s v="New"/>
    <s v="UPI"/>
  </r>
  <r>
    <x v="588"/>
    <x v="435"/>
    <n v="2023"/>
    <x v="9"/>
    <s v="Udaipur"/>
    <x v="20"/>
    <x v="2"/>
    <n v="4"/>
    <n v="79.28"/>
    <n v="317.12"/>
    <n v="69.27"/>
    <n v="40.04"/>
    <s v="Returning"/>
    <s v="Credit Card"/>
  </r>
  <r>
    <x v="589"/>
    <x v="51"/>
    <n v="2024"/>
    <x v="3"/>
    <s v="Surat"/>
    <x v="22"/>
    <x v="4"/>
    <n v="19"/>
    <n v="66.319999999999993"/>
    <n v="1260.08"/>
    <n v="57.47"/>
    <n v="168.15"/>
    <s v="Regular"/>
    <s v="UPI"/>
  </r>
  <r>
    <x v="590"/>
    <x v="436"/>
    <n v="2023"/>
    <x v="0"/>
    <s v="Chennai"/>
    <x v="8"/>
    <x v="3"/>
    <n v="13"/>
    <n v="41.74"/>
    <n v="542.62"/>
    <n v="32.24"/>
    <n v="123.5"/>
    <s v="New"/>
    <s v="Cash on Delivery"/>
  </r>
  <r>
    <x v="591"/>
    <x v="437"/>
    <n v="2024"/>
    <x v="0"/>
    <s v="Coimbatore"/>
    <x v="0"/>
    <x v="0"/>
    <n v="14"/>
    <n v="62.75"/>
    <n v="878.5"/>
    <n v="48.23"/>
    <n v="203.28"/>
    <s v="New"/>
    <s v="Debit Card"/>
  </r>
  <r>
    <x v="592"/>
    <x v="438"/>
    <n v="2024"/>
    <x v="2"/>
    <s v="Lucknow"/>
    <x v="10"/>
    <x v="4"/>
    <n v="7"/>
    <n v="118.11"/>
    <n v="826.77"/>
    <n v="81.489999999999995"/>
    <n v="256.33999999999997"/>
    <s v="New"/>
    <s v="Credit Card"/>
  </r>
  <r>
    <x v="593"/>
    <x v="439"/>
    <n v="2022"/>
    <x v="6"/>
    <s v="Bangalore"/>
    <x v="19"/>
    <x v="2"/>
    <n v="16"/>
    <n v="27.8"/>
    <n v="444.8"/>
    <n v="17.84"/>
    <n v="159.36000000000001"/>
    <s v="Returning"/>
    <s v="Cash on Delivery"/>
  </r>
  <r>
    <x v="594"/>
    <x v="440"/>
    <n v="2024"/>
    <x v="1"/>
    <s v="Hyderabad"/>
    <x v="19"/>
    <x v="2"/>
    <n v="7"/>
    <n v="188.25"/>
    <n v="1317.75"/>
    <n v="138.71"/>
    <n v="346.78"/>
    <s v="Returning"/>
    <s v="UPI"/>
  </r>
  <r>
    <x v="595"/>
    <x v="441"/>
    <n v="2023"/>
    <x v="6"/>
    <s v="Mysore"/>
    <x v="17"/>
    <x v="0"/>
    <n v="17"/>
    <n v="43.81"/>
    <n v="744.77"/>
    <n v="30.09"/>
    <n v="233.24"/>
    <s v="New"/>
    <s v="Credit Card"/>
  </r>
  <r>
    <x v="596"/>
    <x v="442"/>
    <n v="2024"/>
    <x v="7"/>
    <s v="Ludhiana"/>
    <x v="18"/>
    <x v="4"/>
    <n v="8"/>
    <n v="199.2"/>
    <n v="1593.6"/>
    <n v="153.88"/>
    <n v="362.56"/>
    <s v="Returning"/>
    <s v="Cash on Delivery"/>
  </r>
  <r>
    <x v="597"/>
    <x v="443"/>
    <n v="2022"/>
    <x v="4"/>
    <s v="New Delhi"/>
    <x v="7"/>
    <x v="1"/>
    <n v="11"/>
    <n v="171.82"/>
    <n v="1890.02"/>
    <n v="109.76"/>
    <n v="682.66"/>
    <s v="Returning"/>
    <s v="Credit Card"/>
  </r>
  <r>
    <x v="598"/>
    <x v="242"/>
    <n v="2024"/>
    <x v="7"/>
    <s v="Amritsar"/>
    <x v="3"/>
    <x v="3"/>
    <n v="17"/>
    <n v="170.17"/>
    <n v="2892.89"/>
    <n v="107.2"/>
    <n v="1070.49"/>
    <s v="New"/>
    <s v="Credit Card"/>
  </r>
  <r>
    <x v="599"/>
    <x v="444"/>
    <n v="2024"/>
    <x v="5"/>
    <s v="Pune"/>
    <x v="2"/>
    <x v="2"/>
    <n v="20"/>
    <n v="169.95"/>
    <n v="3399"/>
    <n v="147.36000000000001"/>
    <n v="451.8"/>
    <s v="Regular"/>
    <s v="Credit Card"/>
  </r>
  <r>
    <x v="600"/>
    <x v="421"/>
    <n v="2024"/>
    <x v="5"/>
    <s v="Nagpur"/>
    <x v="17"/>
    <x v="0"/>
    <n v="5"/>
    <n v="91.67"/>
    <n v="458.35"/>
    <n v="69.430000000000007"/>
    <n v="111.2"/>
    <s v="Regular"/>
    <s v="UPI"/>
  </r>
  <r>
    <x v="601"/>
    <x v="445"/>
    <n v="2022"/>
    <x v="4"/>
    <s v="New Delhi"/>
    <x v="12"/>
    <x v="2"/>
    <n v="2"/>
    <n v="41.5"/>
    <n v="83"/>
    <n v="27.13"/>
    <n v="28.74"/>
    <s v="Returning"/>
    <s v="Debit Card"/>
  </r>
  <r>
    <x v="602"/>
    <x v="79"/>
    <n v="2022"/>
    <x v="1"/>
    <s v="Warangal"/>
    <x v="11"/>
    <x v="3"/>
    <n v="20"/>
    <n v="106.42"/>
    <n v="2128.4"/>
    <n v="67.239999999999995"/>
    <n v="783.6"/>
    <s v="Regular"/>
    <s v="Credit Card"/>
  </r>
  <r>
    <x v="603"/>
    <x v="422"/>
    <n v="2022"/>
    <x v="2"/>
    <s v="Noida"/>
    <x v="0"/>
    <x v="0"/>
    <n v="18"/>
    <n v="84.17"/>
    <n v="1515.06"/>
    <n v="64.75"/>
    <n v="349.56"/>
    <s v="Regular"/>
    <s v="UPI"/>
  </r>
  <r>
    <x v="604"/>
    <x v="45"/>
    <n v="2022"/>
    <x v="6"/>
    <s v="Mysore"/>
    <x v="7"/>
    <x v="1"/>
    <n v="19"/>
    <n v="111.4"/>
    <n v="2116.6"/>
    <n v="90.34"/>
    <n v="400.14"/>
    <s v="New"/>
    <s v="Credit Card"/>
  </r>
  <r>
    <x v="605"/>
    <x v="446"/>
    <n v="2022"/>
    <x v="4"/>
    <s v="New Delhi"/>
    <x v="8"/>
    <x v="3"/>
    <n v="12"/>
    <n v="157.13999999999999"/>
    <n v="1885.68"/>
    <n v="100.82"/>
    <n v="675.84"/>
    <s v="New"/>
    <s v="Credit Card"/>
  </r>
  <r>
    <x v="606"/>
    <x v="447"/>
    <n v="2023"/>
    <x v="9"/>
    <s v="Udaipur"/>
    <x v="18"/>
    <x v="4"/>
    <n v="9"/>
    <n v="167.84"/>
    <n v="1510.56"/>
    <n v="126.2"/>
    <n v="374.76"/>
    <s v="Regular"/>
    <s v="Credit Card"/>
  </r>
  <r>
    <x v="607"/>
    <x v="448"/>
    <n v="2024"/>
    <x v="1"/>
    <s v="Warangal"/>
    <x v="17"/>
    <x v="0"/>
    <n v="1"/>
    <n v="43.67"/>
    <n v="43.67"/>
    <n v="33.22"/>
    <n v="10.45"/>
    <s v="Returning"/>
    <s v="UPI"/>
  </r>
  <r>
    <x v="608"/>
    <x v="449"/>
    <n v="2023"/>
    <x v="3"/>
    <s v="Surat"/>
    <x v="6"/>
    <x v="5"/>
    <n v="2"/>
    <n v="128.11000000000001"/>
    <n v="256.22000000000003"/>
    <n v="111.9"/>
    <n v="32.42"/>
    <s v="New"/>
    <s v="Cash on Delivery"/>
  </r>
  <r>
    <x v="609"/>
    <x v="450"/>
    <n v="2024"/>
    <x v="7"/>
    <s v="Amritsar"/>
    <x v="20"/>
    <x v="2"/>
    <n v="19"/>
    <n v="143.94"/>
    <n v="2734.86"/>
    <n v="115.28"/>
    <n v="544.54"/>
    <s v="Returning"/>
    <s v="UPI"/>
  </r>
  <r>
    <x v="610"/>
    <x v="451"/>
    <n v="2023"/>
    <x v="9"/>
    <s v="Jaipur"/>
    <x v="6"/>
    <x v="5"/>
    <n v="9"/>
    <n v="21.87"/>
    <n v="196.83"/>
    <n v="18.55"/>
    <n v="29.88"/>
    <s v="Returning"/>
    <s v="Cash on Delivery"/>
  </r>
  <r>
    <x v="611"/>
    <x v="84"/>
    <n v="2022"/>
    <x v="1"/>
    <s v="Warangal"/>
    <x v="20"/>
    <x v="2"/>
    <n v="12"/>
    <n v="165.08"/>
    <n v="1980.96"/>
    <n v="126.46"/>
    <n v="463.44"/>
    <s v="New"/>
    <s v="Credit Card"/>
  </r>
  <r>
    <x v="612"/>
    <x v="65"/>
    <n v="2023"/>
    <x v="3"/>
    <s v="Surat"/>
    <x v="22"/>
    <x v="4"/>
    <n v="19"/>
    <n v="30.75"/>
    <n v="584.25"/>
    <n v="20.399999999999999"/>
    <n v="196.65"/>
    <s v="New"/>
    <s v="Credit Card"/>
  </r>
  <r>
    <x v="613"/>
    <x v="452"/>
    <n v="2022"/>
    <x v="1"/>
    <s v="Warangal"/>
    <x v="5"/>
    <x v="4"/>
    <n v="17"/>
    <n v="85.59"/>
    <n v="1455.03"/>
    <n v="51.83"/>
    <n v="573.91999999999996"/>
    <s v="Regular"/>
    <s v="UPI"/>
  </r>
  <r>
    <x v="614"/>
    <x v="453"/>
    <n v="2022"/>
    <x v="4"/>
    <s v="New Delhi"/>
    <x v="22"/>
    <x v="4"/>
    <n v="15"/>
    <n v="176.9"/>
    <n v="2653.5"/>
    <n v="153.58000000000001"/>
    <n v="349.8"/>
    <s v="Regular"/>
    <s v="Debit Card"/>
  </r>
  <r>
    <x v="615"/>
    <x v="454"/>
    <n v="2022"/>
    <x v="5"/>
    <s v="Mumbai"/>
    <x v="14"/>
    <x v="0"/>
    <n v="16"/>
    <n v="122.9"/>
    <n v="1966.4"/>
    <n v="83.11"/>
    <n v="636.64"/>
    <s v="Regular"/>
    <s v="Cash on Delivery"/>
  </r>
  <r>
    <x v="616"/>
    <x v="24"/>
    <n v="2023"/>
    <x v="0"/>
    <s v="Chennai"/>
    <x v="14"/>
    <x v="0"/>
    <n v="11"/>
    <n v="44.49"/>
    <n v="489.39"/>
    <n v="27.03"/>
    <n v="192.06"/>
    <s v="New"/>
    <s v="Cash on Delivery"/>
  </r>
  <r>
    <x v="617"/>
    <x v="455"/>
    <n v="2024"/>
    <x v="3"/>
    <s v="Surat"/>
    <x v="9"/>
    <x v="1"/>
    <n v="1"/>
    <n v="70.36"/>
    <n v="70.36"/>
    <n v="56.05"/>
    <n v="14.31"/>
    <s v="Regular"/>
    <s v="UPI"/>
  </r>
  <r>
    <x v="618"/>
    <x v="456"/>
    <n v="2024"/>
    <x v="3"/>
    <s v="Surat"/>
    <x v="3"/>
    <x v="3"/>
    <n v="1"/>
    <n v="143.81"/>
    <n v="143.81"/>
    <n v="100.21"/>
    <n v="43.6"/>
    <s v="New"/>
    <s v="Credit Card"/>
  </r>
  <r>
    <x v="619"/>
    <x v="277"/>
    <n v="2024"/>
    <x v="2"/>
    <s v="Lucknow"/>
    <x v="21"/>
    <x v="5"/>
    <n v="8"/>
    <n v="146.49"/>
    <n v="1171.92"/>
    <n v="92.54"/>
    <n v="431.6"/>
    <s v="Regular"/>
    <s v="UPI"/>
  </r>
  <r>
    <x v="620"/>
    <x v="457"/>
    <n v="2024"/>
    <x v="2"/>
    <s v="Noida"/>
    <x v="13"/>
    <x v="5"/>
    <n v="17"/>
    <n v="30.28"/>
    <n v="514.76"/>
    <n v="23.63"/>
    <n v="113.05"/>
    <s v="New"/>
    <s v="UPI"/>
  </r>
  <r>
    <x v="621"/>
    <x v="439"/>
    <n v="2022"/>
    <x v="7"/>
    <s v="Ludhiana"/>
    <x v="0"/>
    <x v="0"/>
    <n v="16"/>
    <n v="85.26"/>
    <n v="1364.16"/>
    <n v="73.38"/>
    <n v="190.08"/>
    <s v="Regular"/>
    <s v="Cash on Delivery"/>
  </r>
  <r>
    <x v="622"/>
    <x v="458"/>
    <n v="2023"/>
    <x v="5"/>
    <s v="Nagpur"/>
    <x v="5"/>
    <x v="4"/>
    <n v="10"/>
    <n v="170.58"/>
    <n v="1705.8"/>
    <n v="141.61000000000001"/>
    <n v="289.7"/>
    <s v="Regular"/>
    <s v="Debit Card"/>
  </r>
  <r>
    <x v="623"/>
    <x v="459"/>
    <n v="2023"/>
    <x v="3"/>
    <s v="Surat"/>
    <x v="0"/>
    <x v="0"/>
    <n v="15"/>
    <n v="77.38"/>
    <n v="1160.7"/>
    <n v="62.58"/>
    <n v="222"/>
    <s v="New"/>
    <s v="Cash on Delivery"/>
  </r>
  <r>
    <x v="624"/>
    <x v="169"/>
    <n v="2024"/>
    <x v="7"/>
    <s v="Amritsar"/>
    <x v="18"/>
    <x v="4"/>
    <n v="7"/>
    <n v="36.47"/>
    <n v="255.29"/>
    <n v="24.73"/>
    <n v="82.18"/>
    <s v="Returning"/>
    <s v="Cash on Delivery"/>
  </r>
  <r>
    <x v="625"/>
    <x v="460"/>
    <n v="2024"/>
    <x v="5"/>
    <s v="Mumbai"/>
    <x v="16"/>
    <x v="5"/>
    <n v="20"/>
    <n v="42.27"/>
    <n v="845.4"/>
    <n v="36.78"/>
    <n v="109.8"/>
    <s v="Regular"/>
    <s v="UPI"/>
  </r>
  <r>
    <x v="626"/>
    <x v="461"/>
    <n v="2022"/>
    <x v="6"/>
    <s v="Bangalore"/>
    <x v="19"/>
    <x v="2"/>
    <n v="6"/>
    <n v="80.45"/>
    <n v="482.7"/>
    <n v="54.05"/>
    <n v="158.4"/>
    <s v="New"/>
    <s v="Debit Card"/>
  </r>
  <r>
    <x v="627"/>
    <x v="302"/>
    <n v="2024"/>
    <x v="3"/>
    <s v="Ahmedabad"/>
    <x v="21"/>
    <x v="5"/>
    <n v="13"/>
    <n v="79.39"/>
    <n v="1032.07"/>
    <n v="59.19"/>
    <n v="262.60000000000002"/>
    <s v="Regular"/>
    <s v="UPI"/>
  </r>
  <r>
    <x v="628"/>
    <x v="462"/>
    <n v="2024"/>
    <x v="2"/>
    <s v="Noida"/>
    <x v="12"/>
    <x v="2"/>
    <n v="1"/>
    <n v="139.06"/>
    <n v="139.06"/>
    <n v="123.66"/>
    <n v="15.4"/>
    <s v="New"/>
    <s v="Credit Card"/>
  </r>
  <r>
    <x v="629"/>
    <x v="463"/>
    <n v="2023"/>
    <x v="8"/>
    <s v="Kolkata"/>
    <x v="15"/>
    <x v="1"/>
    <n v="12"/>
    <n v="130.91999999999999"/>
    <n v="1571.04"/>
    <n v="81.209999999999994"/>
    <n v="596.52"/>
    <s v="New"/>
    <s v="Credit Card"/>
  </r>
  <r>
    <x v="630"/>
    <x v="464"/>
    <n v="2022"/>
    <x v="9"/>
    <s v="Udaipur"/>
    <x v="4"/>
    <x v="0"/>
    <n v="11"/>
    <n v="184.05"/>
    <n v="2024.55"/>
    <n v="155.58000000000001"/>
    <n v="313.17"/>
    <s v="Returning"/>
    <s v="UPI"/>
  </r>
  <r>
    <x v="631"/>
    <x v="93"/>
    <n v="2022"/>
    <x v="8"/>
    <s v="Howrah"/>
    <x v="23"/>
    <x v="3"/>
    <n v="13"/>
    <n v="53.07"/>
    <n v="689.91"/>
    <n v="32.840000000000003"/>
    <n v="262.99"/>
    <s v="New"/>
    <s v="Debit Card"/>
  </r>
  <r>
    <x v="632"/>
    <x v="465"/>
    <n v="2023"/>
    <x v="1"/>
    <s v="Hyderabad"/>
    <x v="4"/>
    <x v="0"/>
    <n v="18"/>
    <n v="166.63"/>
    <n v="2999.34"/>
    <n v="145.69"/>
    <n v="376.92"/>
    <s v="New"/>
    <s v="Credit Card"/>
  </r>
  <r>
    <x v="633"/>
    <x v="466"/>
    <n v="2023"/>
    <x v="0"/>
    <s v="Chennai"/>
    <x v="12"/>
    <x v="2"/>
    <n v="9"/>
    <n v="188.19"/>
    <n v="1693.71"/>
    <n v="124.33"/>
    <n v="574.74"/>
    <s v="Returning"/>
    <s v="UPI"/>
  </r>
  <r>
    <x v="634"/>
    <x v="310"/>
    <n v="2023"/>
    <x v="0"/>
    <s v="Coimbatore"/>
    <x v="19"/>
    <x v="2"/>
    <n v="13"/>
    <n v="33.96"/>
    <n v="441.48"/>
    <n v="26.48"/>
    <n v="97.24"/>
    <s v="Regular"/>
    <s v="UPI"/>
  </r>
  <r>
    <x v="635"/>
    <x v="467"/>
    <n v="2024"/>
    <x v="0"/>
    <s v="Chennai"/>
    <x v="12"/>
    <x v="2"/>
    <n v="10"/>
    <n v="142.76"/>
    <n v="1427.6"/>
    <n v="116.62"/>
    <n v="261.39999999999998"/>
    <s v="New"/>
    <s v="Credit Card"/>
  </r>
  <r>
    <x v="636"/>
    <x v="468"/>
    <n v="2022"/>
    <x v="6"/>
    <s v="Bangalore"/>
    <x v="3"/>
    <x v="3"/>
    <n v="15"/>
    <n v="35.67"/>
    <n v="535.04999999999995"/>
    <n v="25.97"/>
    <n v="145.5"/>
    <s v="Regular"/>
    <s v="UPI"/>
  </r>
  <r>
    <x v="637"/>
    <x v="385"/>
    <n v="2022"/>
    <x v="7"/>
    <s v="Ludhiana"/>
    <x v="11"/>
    <x v="3"/>
    <n v="15"/>
    <n v="93.01"/>
    <n v="1395.15"/>
    <n v="58.28"/>
    <n v="520.95000000000005"/>
    <s v="Regular"/>
    <s v="Cash on Delivery"/>
  </r>
  <r>
    <x v="638"/>
    <x v="469"/>
    <n v="2022"/>
    <x v="4"/>
    <s v="New Delhi"/>
    <x v="10"/>
    <x v="4"/>
    <n v="14"/>
    <n v="115.27"/>
    <n v="1613.78"/>
    <n v="78.569999999999993"/>
    <n v="513.79999999999995"/>
    <s v="New"/>
    <s v="Credit Card"/>
  </r>
  <r>
    <x v="639"/>
    <x v="133"/>
    <n v="2024"/>
    <x v="8"/>
    <s v="Howrah"/>
    <x v="22"/>
    <x v="4"/>
    <n v="7"/>
    <n v="99.57"/>
    <n v="696.99"/>
    <n v="61.6"/>
    <n v="265.79000000000002"/>
    <s v="Returning"/>
    <s v="Debit Card"/>
  </r>
  <r>
    <x v="640"/>
    <x v="426"/>
    <n v="2022"/>
    <x v="7"/>
    <s v="Ludhiana"/>
    <x v="6"/>
    <x v="5"/>
    <n v="6"/>
    <n v="178.22"/>
    <n v="1069.32"/>
    <n v="148.72999999999999"/>
    <n v="176.94"/>
    <s v="New"/>
    <s v="Debit Card"/>
  </r>
  <r>
    <x v="641"/>
    <x v="194"/>
    <n v="2024"/>
    <x v="1"/>
    <s v="Hyderabad"/>
    <x v="18"/>
    <x v="4"/>
    <n v="10"/>
    <n v="59.66"/>
    <n v="596.6"/>
    <n v="51.13"/>
    <n v="85.3"/>
    <s v="Regular"/>
    <s v="Credit Card"/>
  </r>
  <r>
    <x v="642"/>
    <x v="470"/>
    <n v="2024"/>
    <x v="4"/>
    <s v="New Delhi"/>
    <x v="15"/>
    <x v="1"/>
    <n v="9"/>
    <n v="41.72"/>
    <n v="375.48"/>
    <n v="31.4"/>
    <n v="92.88"/>
    <s v="Returning"/>
    <s v="Cash on Delivery"/>
  </r>
  <r>
    <x v="643"/>
    <x v="284"/>
    <n v="2024"/>
    <x v="0"/>
    <s v="Chennai"/>
    <x v="16"/>
    <x v="5"/>
    <n v="2"/>
    <n v="24.14"/>
    <n v="48.28"/>
    <n v="18.04"/>
    <n v="12.2"/>
    <s v="Regular"/>
    <s v="Debit Card"/>
  </r>
  <r>
    <x v="644"/>
    <x v="233"/>
    <n v="2022"/>
    <x v="7"/>
    <s v="Ludhiana"/>
    <x v="4"/>
    <x v="0"/>
    <n v="11"/>
    <n v="136.93"/>
    <n v="1506.23"/>
    <n v="120.37"/>
    <n v="182.16"/>
    <s v="New"/>
    <s v="Debit Card"/>
  </r>
  <r>
    <x v="645"/>
    <x v="471"/>
    <n v="2023"/>
    <x v="1"/>
    <s v="Hyderabad"/>
    <x v="15"/>
    <x v="1"/>
    <n v="11"/>
    <n v="193.56"/>
    <n v="2129.16"/>
    <n v="132.1"/>
    <n v="676.06"/>
    <s v="New"/>
    <s v="Debit Card"/>
  </r>
  <r>
    <x v="646"/>
    <x v="472"/>
    <n v="2024"/>
    <x v="8"/>
    <s v="Kolkata"/>
    <x v="3"/>
    <x v="3"/>
    <n v="11"/>
    <n v="142.65"/>
    <n v="1569.15"/>
    <n v="115.24"/>
    <n v="301.51"/>
    <s v="New"/>
    <s v="UPI"/>
  </r>
  <r>
    <x v="647"/>
    <x v="473"/>
    <n v="2023"/>
    <x v="0"/>
    <s v="Coimbatore"/>
    <x v="13"/>
    <x v="5"/>
    <n v="20"/>
    <n v="97.88"/>
    <n v="1957.6"/>
    <n v="76.900000000000006"/>
    <n v="419.6"/>
    <s v="Returning"/>
    <s v="UPI"/>
  </r>
  <r>
    <x v="648"/>
    <x v="208"/>
    <n v="2023"/>
    <x v="8"/>
    <s v="Howrah"/>
    <x v="9"/>
    <x v="1"/>
    <n v="9"/>
    <n v="103.49"/>
    <n v="931.41"/>
    <n v="73.73"/>
    <n v="267.83999999999997"/>
    <s v="Regular"/>
    <s v="Cash on Delivery"/>
  </r>
  <r>
    <x v="649"/>
    <x v="474"/>
    <n v="2023"/>
    <x v="4"/>
    <s v="New Delhi"/>
    <x v="22"/>
    <x v="4"/>
    <n v="8"/>
    <n v="30.36"/>
    <n v="242.88"/>
    <n v="20.03"/>
    <n v="82.64"/>
    <s v="New"/>
    <s v="Credit Card"/>
  </r>
  <r>
    <x v="650"/>
    <x v="475"/>
    <n v="2023"/>
    <x v="4"/>
    <s v="New Delhi"/>
    <x v="20"/>
    <x v="2"/>
    <n v="9"/>
    <n v="148.25"/>
    <n v="1334.25"/>
    <n v="117.64"/>
    <n v="275.49"/>
    <s v="Returning"/>
    <s v="Cash on Delivery"/>
  </r>
  <r>
    <x v="651"/>
    <x v="476"/>
    <n v="2023"/>
    <x v="5"/>
    <s v="Pune"/>
    <x v="12"/>
    <x v="2"/>
    <n v="13"/>
    <n v="69.41"/>
    <n v="902.33"/>
    <n v="49.71"/>
    <n v="256.10000000000002"/>
    <s v="Returning"/>
    <s v="Cash on Delivery"/>
  </r>
  <r>
    <x v="652"/>
    <x v="477"/>
    <n v="2023"/>
    <x v="4"/>
    <s v="New Delhi"/>
    <x v="8"/>
    <x v="3"/>
    <n v="3"/>
    <n v="140.54"/>
    <n v="421.62"/>
    <n v="91.27"/>
    <n v="147.81"/>
    <s v="Regular"/>
    <s v="Credit Card"/>
  </r>
  <r>
    <x v="653"/>
    <x v="303"/>
    <n v="2024"/>
    <x v="3"/>
    <s v="Surat"/>
    <x v="22"/>
    <x v="4"/>
    <n v="6"/>
    <n v="164.11"/>
    <n v="984.66"/>
    <n v="124.12"/>
    <n v="239.94"/>
    <s v="Returning"/>
    <s v="Cash on Delivery"/>
  </r>
  <r>
    <x v="654"/>
    <x v="29"/>
    <n v="2024"/>
    <x v="0"/>
    <s v="Coimbatore"/>
    <x v="5"/>
    <x v="4"/>
    <n v="13"/>
    <n v="74.81"/>
    <n v="972.53"/>
    <n v="58.75"/>
    <n v="208.78"/>
    <s v="Regular"/>
    <s v="Debit Card"/>
  </r>
  <r>
    <x v="655"/>
    <x v="445"/>
    <n v="2022"/>
    <x v="3"/>
    <s v="Surat"/>
    <x v="18"/>
    <x v="4"/>
    <n v="10"/>
    <n v="36.979999999999997"/>
    <n v="369.8"/>
    <n v="29.1"/>
    <n v="78.8"/>
    <s v="New"/>
    <s v="Credit Card"/>
  </r>
  <r>
    <x v="656"/>
    <x v="478"/>
    <n v="2023"/>
    <x v="9"/>
    <s v="Udaipur"/>
    <x v="5"/>
    <x v="4"/>
    <n v="9"/>
    <n v="189.37"/>
    <n v="1704.33"/>
    <n v="152.72999999999999"/>
    <n v="329.76"/>
    <s v="Regular"/>
    <s v="UPI"/>
  </r>
  <r>
    <x v="657"/>
    <x v="479"/>
    <n v="2023"/>
    <x v="4"/>
    <s v="New Delhi"/>
    <x v="16"/>
    <x v="5"/>
    <n v="17"/>
    <n v="41.03"/>
    <n v="697.51"/>
    <n v="25.17"/>
    <n v="269.62"/>
    <s v="Returning"/>
    <s v="UPI"/>
  </r>
  <r>
    <x v="658"/>
    <x v="480"/>
    <n v="2022"/>
    <x v="1"/>
    <s v="Hyderabad"/>
    <x v="5"/>
    <x v="4"/>
    <n v="5"/>
    <n v="62.67"/>
    <n v="313.35000000000002"/>
    <n v="53.62"/>
    <n v="45.25"/>
    <s v="Regular"/>
    <s v="UPI"/>
  </r>
  <r>
    <x v="659"/>
    <x v="374"/>
    <n v="2024"/>
    <x v="4"/>
    <s v="New Delhi"/>
    <x v="7"/>
    <x v="1"/>
    <n v="11"/>
    <n v="25.73"/>
    <n v="283.02999999999997"/>
    <n v="20.3"/>
    <n v="59.73"/>
    <s v="New"/>
    <s v="UPI"/>
  </r>
  <r>
    <x v="660"/>
    <x v="481"/>
    <n v="2022"/>
    <x v="8"/>
    <s v="Howrah"/>
    <x v="19"/>
    <x v="2"/>
    <n v="16"/>
    <n v="140.78"/>
    <n v="2252.48"/>
    <n v="117.5"/>
    <n v="372.48"/>
    <s v="Returning"/>
    <s v="UPI"/>
  </r>
  <r>
    <x v="661"/>
    <x v="482"/>
    <n v="2024"/>
    <x v="0"/>
    <s v="Coimbatore"/>
    <x v="11"/>
    <x v="3"/>
    <n v="12"/>
    <n v="31.42"/>
    <n v="377.04"/>
    <n v="27.67"/>
    <n v="45"/>
    <s v="New"/>
    <s v="Credit Card"/>
  </r>
  <r>
    <x v="662"/>
    <x v="475"/>
    <n v="2023"/>
    <x v="8"/>
    <s v="Howrah"/>
    <x v="15"/>
    <x v="1"/>
    <n v="3"/>
    <n v="57.95"/>
    <n v="173.85"/>
    <n v="39.729999999999997"/>
    <n v="54.66"/>
    <s v="Returning"/>
    <s v="Debit Card"/>
  </r>
  <r>
    <x v="663"/>
    <x v="438"/>
    <n v="2024"/>
    <x v="1"/>
    <s v="Warangal"/>
    <x v="11"/>
    <x v="3"/>
    <n v="20"/>
    <n v="119.43"/>
    <n v="2388.6"/>
    <n v="107.3"/>
    <n v="242.6"/>
    <s v="Returning"/>
    <s v="Credit Card"/>
  </r>
  <r>
    <x v="664"/>
    <x v="483"/>
    <n v="2024"/>
    <x v="5"/>
    <s v="Nagpur"/>
    <x v="7"/>
    <x v="1"/>
    <n v="3"/>
    <n v="184.03"/>
    <n v="552.09"/>
    <n v="112.1"/>
    <n v="215.79"/>
    <s v="Regular"/>
    <s v="Cash on Delivery"/>
  </r>
  <r>
    <x v="665"/>
    <x v="90"/>
    <n v="2022"/>
    <x v="2"/>
    <s v="Noida"/>
    <x v="12"/>
    <x v="2"/>
    <n v="9"/>
    <n v="52.83"/>
    <n v="475.47"/>
    <n v="34.61"/>
    <n v="163.98"/>
    <s v="Regular"/>
    <s v="Debit Card"/>
  </r>
  <r>
    <x v="666"/>
    <x v="425"/>
    <n v="2024"/>
    <x v="8"/>
    <s v="Kolkata"/>
    <x v="20"/>
    <x v="2"/>
    <n v="8"/>
    <n v="72.23"/>
    <n v="577.84"/>
    <n v="64.47"/>
    <n v="62.08"/>
    <s v="New"/>
    <s v="UPI"/>
  </r>
  <r>
    <x v="667"/>
    <x v="484"/>
    <n v="2023"/>
    <x v="7"/>
    <s v="Amritsar"/>
    <x v="4"/>
    <x v="0"/>
    <n v="5"/>
    <n v="118.88"/>
    <n v="594.4"/>
    <n v="79.209999999999994"/>
    <n v="198.35"/>
    <s v="Regular"/>
    <s v="UPI"/>
  </r>
  <r>
    <x v="668"/>
    <x v="265"/>
    <n v="2024"/>
    <x v="2"/>
    <s v="Noida"/>
    <x v="12"/>
    <x v="2"/>
    <n v="2"/>
    <n v="49.23"/>
    <n v="98.46"/>
    <n v="42.11"/>
    <n v="14.24"/>
    <s v="Returning"/>
    <s v="Credit Card"/>
  </r>
  <r>
    <x v="669"/>
    <x v="485"/>
    <n v="2022"/>
    <x v="6"/>
    <s v="Mysore"/>
    <x v="1"/>
    <x v="1"/>
    <n v="18"/>
    <n v="154.97999999999999"/>
    <n v="2789.64"/>
    <n v="100.38"/>
    <n v="982.8"/>
    <s v="Returning"/>
    <s v="UPI"/>
  </r>
  <r>
    <x v="670"/>
    <x v="120"/>
    <n v="2023"/>
    <x v="6"/>
    <s v="Mysore"/>
    <x v="0"/>
    <x v="0"/>
    <n v="15"/>
    <n v="38.42"/>
    <n v="576.29999999999995"/>
    <n v="31.36"/>
    <n v="105.9"/>
    <s v="New"/>
    <s v="Debit Card"/>
  </r>
  <r>
    <x v="671"/>
    <x v="486"/>
    <n v="2022"/>
    <x v="8"/>
    <s v="Howrah"/>
    <x v="20"/>
    <x v="2"/>
    <n v="12"/>
    <n v="94.02"/>
    <n v="1128.24"/>
    <n v="78.37"/>
    <n v="187.8"/>
    <s v="Returning"/>
    <s v="Credit Card"/>
  </r>
  <r>
    <x v="672"/>
    <x v="487"/>
    <n v="2024"/>
    <x v="6"/>
    <s v="Bangalore"/>
    <x v="12"/>
    <x v="2"/>
    <n v="14"/>
    <n v="84.65"/>
    <n v="1185.0999999999999"/>
    <n v="51.39"/>
    <n v="465.64"/>
    <s v="New"/>
    <s v="UPI"/>
  </r>
  <r>
    <x v="673"/>
    <x v="65"/>
    <n v="2023"/>
    <x v="4"/>
    <s v="New Delhi"/>
    <x v="0"/>
    <x v="0"/>
    <n v="6"/>
    <n v="28.74"/>
    <n v="172.44"/>
    <n v="20.45"/>
    <n v="49.74"/>
    <s v="New"/>
    <s v="Cash on Delivery"/>
  </r>
  <r>
    <x v="674"/>
    <x v="203"/>
    <n v="2023"/>
    <x v="8"/>
    <s v="Howrah"/>
    <x v="18"/>
    <x v="4"/>
    <n v="5"/>
    <n v="182.51"/>
    <n v="912.55"/>
    <n v="147.59"/>
    <n v="174.6"/>
    <s v="Regular"/>
    <s v="Debit Card"/>
  </r>
  <r>
    <x v="675"/>
    <x v="394"/>
    <n v="2024"/>
    <x v="0"/>
    <s v="Coimbatore"/>
    <x v="16"/>
    <x v="5"/>
    <n v="12"/>
    <n v="102.87"/>
    <n v="1234.44"/>
    <n v="85.96"/>
    <n v="202.92"/>
    <s v="New"/>
    <s v="UPI"/>
  </r>
  <r>
    <x v="676"/>
    <x v="488"/>
    <n v="2023"/>
    <x v="4"/>
    <s v="New Delhi"/>
    <x v="12"/>
    <x v="2"/>
    <n v="2"/>
    <n v="31.79"/>
    <n v="63.58"/>
    <n v="27.13"/>
    <n v="9.32"/>
    <s v="Returning"/>
    <s v="Credit Card"/>
  </r>
  <r>
    <x v="677"/>
    <x v="489"/>
    <n v="2023"/>
    <x v="5"/>
    <s v="Mumbai"/>
    <x v="16"/>
    <x v="5"/>
    <n v="13"/>
    <n v="189.77"/>
    <n v="2467.0100000000002"/>
    <n v="151.35"/>
    <n v="499.46"/>
    <s v="New"/>
    <s v="UPI"/>
  </r>
  <r>
    <x v="678"/>
    <x v="490"/>
    <n v="2022"/>
    <x v="5"/>
    <s v="Mumbai"/>
    <x v="17"/>
    <x v="0"/>
    <n v="9"/>
    <n v="100.86"/>
    <n v="907.74"/>
    <n v="86.03"/>
    <n v="133.47"/>
    <s v="New"/>
    <s v="UPI"/>
  </r>
  <r>
    <x v="679"/>
    <x v="248"/>
    <n v="2022"/>
    <x v="6"/>
    <s v="Mysore"/>
    <x v="21"/>
    <x v="5"/>
    <n v="8"/>
    <n v="97.33"/>
    <n v="778.64"/>
    <n v="71.17"/>
    <n v="209.28"/>
    <s v="New"/>
    <s v="UPI"/>
  </r>
  <r>
    <x v="680"/>
    <x v="118"/>
    <n v="2022"/>
    <x v="0"/>
    <s v="Coimbatore"/>
    <x v="15"/>
    <x v="1"/>
    <n v="3"/>
    <n v="164.93"/>
    <n v="494.79"/>
    <n v="118.61"/>
    <n v="138.96"/>
    <s v="New"/>
    <s v="Debit Card"/>
  </r>
  <r>
    <x v="681"/>
    <x v="491"/>
    <n v="2022"/>
    <x v="7"/>
    <s v="Ludhiana"/>
    <x v="11"/>
    <x v="3"/>
    <n v="9"/>
    <n v="106.65"/>
    <n v="959.85"/>
    <n v="67.59"/>
    <n v="351.54"/>
    <s v="Returning"/>
    <s v="Debit Card"/>
  </r>
  <r>
    <x v="682"/>
    <x v="448"/>
    <n v="2024"/>
    <x v="4"/>
    <s v="New Delhi"/>
    <x v="13"/>
    <x v="5"/>
    <n v="14"/>
    <n v="24.17"/>
    <n v="338.38"/>
    <n v="19.22"/>
    <n v="69.3"/>
    <s v="Returning"/>
    <s v="UPI"/>
  </r>
  <r>
    <x v="683"/>
    <x v="492"/>
    <n v="2024"/>
    <x v="3"/>
    <s v="Surat"/>
    <x v="5"/>
    <x v="4"/>
    <n v="20"/>
    <n v="102.85"/>
    <n v="2057"/>
    <n v="84.96"/>
    <n v="357.8"/>
    <s v="Regular"/>
    <s v="Debit Card"/>
  </r>
  <r>
    <x v="684"/>
    <x v="476"/>
    <n v="2023"/>
    <x v="0"/>
    <s v="Chennai"/>
    <x v="1"/>
    <x v="1"/>
    <n v="18"/>
    <n v="91.67"/>
    <n v="1650.06"/>
    <n v="67.48"/>
    <n v="435.42"/>
    <s v="New"/>
    <s v="Cash on Delivery"/>
  </r>
  <r>
    <x v="685"/>
    <x v="493"/>
    <n v="2024"/>
    <x v="0"/>
    <s v="Chennai"/>
    <x v="17"/>
    <x v="0"/>
    <n v="11"/>
    <n v="174.01"/>
    <n v="1914.11"/>
    <n v="131.76"/>
    <n v="464.75"/>
    <s v="Returning"/>
    <s v="UPI"/>
  </r>
  <r>
    <x v="686"/>
    <x v="291"/>
    <n v="2024"/>
    <x v="6"/>
    <s v="Bangalore"/>
    <x v="9"/>
    <x v="1"/>
    <n v="20"/>
    <n v="97.52"/>
    <n v="1950.4"/>
    <n v="66.88"/>
    <n v="612.79999999999995"/>
    <s v="New"/>
    <s v="Credit Card"/>
  </r>
  <r>
    <x v="687"/>
    <x v="52"/>
    <n v="2023"/>
    <x v="0"/>
    <s v="Coimbatore"/>
    <x v="14"/>
    <x v="0"/>
    <n v="9"/>
    <n v="100.05"/>
    <n v="900.45"/>
    <n v="83.03"/>
    <n v="153.18"/>
    <s v="New"/>
    <s v="Debit Card"/>
  </r>
  <r>
    <x v="688"/>
    <x v="494"/>
    <n v="2022"/>
    <x v="8"/>
    <s v="Kolkata"/>
    <x v="6"/>
    <x v="5"/>
    <n v="14"/>
    <n v="139.13"/>
    <n v="1947.82"/>
    <n v="107.06"/>
    <n v="448.98"/>
    <s v="Returning"/>
    <s v="Debit Card"/>
  </r>
  <r>
    <x v="689"/>
    <x v="495"/>
    <n v="2024"/>
    <x v="3"/>
    <s v="Surat"/>
    <x v="6"/>
    <x v="5"/>
    <n v="17"/>
    <n v="85.68"/>
    <n v="1456.56"/>
    <n v="57.62"/>
    <n v="477.02"/>
    <s v="Regular"/>
    <s v="UPI"/>
  </r>
  <r>
    <x v="690"/>
    <x v="221"/>
    <n v="2024"/>
    <x v="7"/>
    <s v="Ludhiana"/>
    <x v="14"/>
    <x v="0"/>
    <n v="11"/>
    <n v="75.010000000000005"/>
    <n v="825.11"/>
    <n v="53.11"/>
    <n v="240.9"/>
    <s v="Regular"/>
    <s v="Debit Card"/>
  </r>
  <r>
    <x v="691"/>
    <x v="496"/>
    <n v="2022"/>
    <x v="8"/>
    <s v="Kolkata"/>
    <x v="12"/>
    <x v="2"/>
    <n v="11"/>
    <n v="95.55"/>
    <n v="1051.05"/>
    <n v="80.98"/>
    <n v="160.27000000000001"/>
    <s v="New"/>
    <s v="Cash on Delivery"/>
  </r>
  <r>
    <x v="692"/>
    <x v="497"/>
    <n v="2023"/>
    <x v="5"/>
    <s v="Nagpur"/>
    <x v="2"/>
    <x v="2"/>
    <n v="18"/>
    <n v="53.29"/>
    <n v="959.22"/>
    <n v="46.65"/>
    <n v="119.52"/>
    <s v="Regular"/>
    <s v="Debit Card"/>
  </r>
  <r>
    <x v="693"/>
    <x v="498"/>
    <n v="2022"/>
    <x v="8"/>
    <s v="Kolkata"/>
    <x v="12"/>
    <x v="2"/>
    <n v="7"/>
    <n v="33.44"/>
    <n v="234.08"/>
    <n v="23.87"/>
    <n v="66.989999999999995"/>
    <s v="New"/>
    <s v="Cash on Delivery"/>
  </r>
  <r>
    <x v="694"/>
    <x v="427"/>
    <n v="2022"/>
    <x v="7"/>
    <s v="Ludhiana"/>
    <x v="5"/>
    <x v="4"/>
    <n v="13"/>
    <n v="191.58"/>
    <n v="2490.54"/>
    <n v="165.98"/>
    <n v="332.8"/>
    <s v="Returning"/>
    <s v="Cash on Delivery"/>
  </r>
  <r>
    <x v="695"/>
    <x v="499"/>
    <n v="2024"/>
    <x v="8"/>
    <s v="Howrah"/>
    <x v="1"/>
    <x v="1"/>
    <n v="12"/>
    <n v="88.88"/>
    <n v="1066.56"/>
    <n v="64.28"/>
    <n v="295.2"/>
    <s v="Regular"/>
    <s v="Credit Card"/>
  </r>
  <r>
    <x v="696"/>
    <x v="500"/>
    <n v="2024"/>
    <x v="0"/>
    <s v="Chennai"/>
    <x v="1"/>
    <x v="1"/>
    <n v="7"/>
    <n v="181.39"/>
    <n v="1269.73"/>
    <n v="110.16"/>
    <n v="498.61"/>
    <s v="Regular"/>
    <s v="Cash on Delivery"/>
  </r>
  <r>
    <x v="697"/>
    <x v="241"/>
    <n v="2022"/>
    <x v="2"/>
    <s v="Noida"/>
    <x v="16"/>
    <x v="5"/>
    <n v="6"/>
    <n v="74.900000000000006"/>
    <n v="449.4"/>
    <n v="46.24"/>
    <n v="171.96"/>
    <s v="Returning"/>
    <s v="Credit Card"/>
  </r>
  <r>
    <x v="698"/>
    <x v="501"/>
    <n v="2023"/>
    <x v="0"/>
    <s v="Chennai"/>
    <x v="0"/>
    <x v="0"/>
    <n v="18"/>
    <n v="155.25"/>
    <n v="2794.5"/>
    <n v="112.42"/>
    <n v="770.94"/>
    <s v="New"/>
    <s v="Credit Card"/>
  </r>
  <r>
    <x v="699"/>
    <x v="502"/>
    <n v="2024"/>
    <x v="0"/>
    <s v="Coimbatore"/>
    <x v="16"/>
    <x v="5"/>
    <n v="10"/>
    <n v="41.55"/>
    <n v="415.5"/>
    <n v="29.33"/>
    <n v="122.2"/>
    <s v="Returning"/>
    <s v="Debit Card"/>
  </r>
  <r>
    <x v="700"/>
    <x v="476"/>
    <n v="2023"/>
    <x v="3"/>
    <s v="Surat"/>
    <x v="14"/>
    <x v="0"/>
    <n v="16"/>
    <n v="60.15"/>
    <n v="962.4"/>
    <n v="45.23"/>
    <n v="238.72"/>
    <s v="Regular"/>
    <s v="UPI"/>
  </r>
  <r>
    <x v="701"/>
    <x v="503"/>
    <n v="2022"/>
    <x v="3"/>
    <s v="Surat"/>
    <x v="5"/>
    <x v="4"/>
    <n v="4"/>
    <n v="128.15"/>
    <n v="512.6"/>
    <n v="87"/>
    <n v="164.6"/>
    <s v="Regular"/>
    <s v="Cash on Delivery"/>
  </r>
  <r>
    <x v="702"/>
    <x v="504"/>
    <n v="2023"/>
    <x v="5"/>
    <s v="Pune"/>
    <x v="12"/>
    <x v="2"/>
    <n v="12"/>
    <n v="189.97"/>
    <n v="2279.64"/>
    <n v="166.16"/>
    <n v="285.72000000000003"/>
    <s v="Returning"/>
    <s v="Credit Card"/>
  </r>
  <r>
    <x v="703"/>
    <x v="480"/>
    <n v="2022"/>
    <x v="2"/>
    <s v="Noida"/>
    <x v="14"/>
    <x v="0"/>
    <n v="18"/>
    <n v="152.27000000000001"/>
    <n v="2740.86"/>
    <n v="129.97"/>
    <n v="401.4"/>
    <s v="Regular"/>
    <s v="Debit Card"/>
  </r>
  <r>
    <x v="704"/>
    <x v="505"/>
    <n v="2024"/>
    <x v="1"/>
    <s v="Warangal"/>
    <x v="13"/>
    <x v="5"/>
    <n v="17"/>
    <n v="194.76"/>
    <n v="3310.92"/>
    <n v="150.13"/>
    <n v="758.71"/>
    <s v="New"/>
    <s v="UPI"/>
  </r>
  <r>
    <x v="705"/>
    <x v="506"/>
    <n v="2023"/>
    <x v="9"/>
    <s v="Jaipur"/>
    <x v="0"/>
    <x v="0"/>
    <n v="8"/>
    <n v="175.47"/>
    <n v="1403.76"/>
    <n v="133.91"/>
    <n v="332.48"/>
    <s v="New"/>
    <s v="Cash on Delivery"/>
  </r>
  <r>
    <x v="706"/>
    <x v="507"/>
    <n v="2022"/>
    <x v="0"/>
    <s v="Coimbatore"/>
    <x v="17"/>
    <x v="0"/>
    <n v="14"/>
    <n v="147.35"/>
    <n v="2062.9"/>
    <n v="92.39"/>
    <n v="769.44"/>
    <s v="New"/>
    <s v="Cash on Delivery"/>
  </r>
  <r>
    <x v="707"/>
    <x v="508"/>
    <n v="2024"/>
    <x v="9"/>
    <s v="Jaipur"/>
    <x v="20"/>
    <x v="2"/>
    <n v="19"/>
    <n v="139.29"/>
    <n v="2646.51"/>
    <n v="120.03"/>
    <n v="365.94"/>
    <s v="New"/>
    <s v="UPI"/>
  </r>
  <r>
    <x v="708"/>
    <x v="505"/>
    <n v="2024"/>
    <x v="0"/>
    <s v="Chennai"/>
    <x v="7"/>
    <x v="1"/>
    <n v="4"/>
    <n v="57.99"/>
    <n v="231.96"/>
    <n v="49.02"/>
    <n v="35.880000000000003"/>
    <s v="Regular"/>
    <s v="Debit Card"/>
  </r>
  <r>
    <x v="709"/>
    <x v="509"/>
    <n v="2022"/>
    <x v="3"/>
    <s v="Ahmedabad"/>
    <x v="5"/>
    <x v="4"/>
    <n v="9"/>
    <n v="196.12"/>
    <n v="1765.08"/>
    <n v="117.82"/>
    <n v="704.7"/>
    <s v="New"/>
    <s v="Debit Card"/>
  </r>
  <r>
    <x v="710"/>
    <x v="510"/>
    <n v="2024"/>
    <x v="7"/>
    <s v="Ludhiana"/>
    <x v="12"/>
    <x v="2"/>
    <n v="18"/>
    <n v="153.59"/>
    <n v="2764.62"/>
    <n v="127.38"/>
    <n v="471.78"/>
    <s v="Returning"/>
    <s v="UPI"/>
  </r>
  <r>
    <x v="711"/>
    <x v="129"/>
    <n v="2024"/>
    <x v="6"/>
    <s v="Mysore"/>
    <x v="3"/>
    <x v="3"/>
    <n v="11"/>
    <n v="152.54"/>
    <n v="1677.94"/>
    <n v="121.96"/>
    <n v="336.38"/>
    <s v="Regular"/>
    <s v="UPI"/>
  </r>
  <r>
    <x v="712"/>
    <x v="511"/>
    <n v="2022"/>
    <x v="9"/>
    <s v="Jaipur"/>
    <x v="4"/>
    <x v="0"/>
    <n v="2"/>
    <n v="137.19999999999999"/>
    <n v="274.39999999999998"/>
    <n v="99.92"/>
    <n v="74.56"/>
    <s v="New"/>
    <s v="Credit Card"/>
  </r>
  <r>
    <x v="713"/>
    <x v="512"/>
    <n v="2024"/>
    <x v="2"/>
    <s v="Noida"/>
    <x v="1"/>
    <x v="1"/>
    <n v="15"/>
    <n v="102.46"/>
    <n v="1536.9"/>
    <n v="69.599999999999994"/>
    <n v="492.9"/>
    <s v="New"/>
    <s v="UPI"/>
  </r>
  <r>
    <x v="714"/>
    <x v="396"/>
    <n v="2023"/>
    <x v="2"/>
    <s v="Noida"/>
    <x v="12"/>
    <x v="2"/>
    <n v="1"/>
    <n v="126.85"/>
    <n v="126.85"/>
    <n v="103.88"/>
    <n v="22.97"/>
    <s v="Regular"/>
    <s v="Debit Card"/>
  </r>
  <r>
    <x v="715"/>
    <x v="36"/>
    <n v="2024"/>
    <x v="0"/>
    <s v="Coimbatore"/>
    <x v="4"/>
    <x v="0"/>
    <n v="13"/>
    <n v="41.41"/>
    <n v="538.33000000000004"/>
    <n v="36.29"/>
    <n v="66.56"/>
    <s v="New"/>
    <s v="Cash on Delivery"/>
  </r>
  <r>
    <x v="716"/>
    <x v="216"/>
    <n v="2024"/>
    <x v="0"/>
    <s v="Chennai"/>
    <x v="13"/>
    <x v="5"/>
    <n v="2"/>
    <n v="45.8"/>
    <n v="91.6"/>
    <n v="36.49"/>
    <n v="18.62"/>
    <s v="Returning"/>
    <s v="Cash on Delivery"/>
  </r>
  <r>
    <x v="717"/>
    <x v="513"/>
    <n v="2024"/>
    <x v="1"/>
    <s v="Warangal"/>
    <x v="2"/>
    <x v="2"/>
    <n v="11"/>
    <n v="191.25"/>
    <n v="2103.75"/>
    <n v="133.47"/>
    <n v="635.58000000000004"/>
    <s v="Regular"/>
    <s v="Cash on Delivery"/>
  </r>
  <r>
    <x v="718"/>
    <x v="514"/>
    <n v="2022"/>
    <x v="8"/>
    <s v="Kolkata"/>
    <x v="22"/>
    <x v="4"/>
    <n v="6"/>
    <n v="167.6"/>
    <n v="1005.6"/>
    <n v="110.97"/>
    <n v="339.78"/>
    <s v="New"/>
    <s v="UPI"/>
  </r>
  <r>
    <x v="719"/>
    <x v="282"/>
    <n v="2022"/>
    <x v="3"/>
    <s v="Ahmedabad"/>
    <x v="7"/>
    <x v="1"/>
    <n v="7"/>
    <n v="92.22"/>
    <n v="645.54"/>
    <n v="75.67"/>
    <n v="115.85"/>
    <s v="New"/>
    <s v="Cash on Deliver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09E55-B0BE-4162-B1F9-BBA85EF60A94}" name="PivotTable7"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27">
  <location ref="A63:A64" firstHeaderRow="1" firstDataRow="1" firstDataCol="0"/>
  <pivotFields count="17">
    <pivotField showAll="0"/>
    <pivotField numFmtId="164" showAll="0">
      <items count="516">
        <item x="282"/>
        <item x="388"/>
        <item x="402"/>
        <item x="77"/>
        <item x="453"/>
        <item x="235"/>
        <item x="71"/>
        <item x="363"/>
        <item x="461"/>
        <item x="53"/>
        <item x="299"/>
        <item x="287"/>
        <item x="509"/>
        <item x="464"/>
        <item x="278"/>
        <item x="332"/>
        <item x="209"/>
        <item x="103"/>
        <item x="128"/>
        <item x="146"/>
        <item x="272"/>
        <item x="22"/>
        <item x="232"/>
        <item x="21"/>
        <item x="321"/>
        <item x="295"/>
        <item x="433"/>
        <item x="55"/>
        <item x="132"/>
        <item x="424"/>
        <item x="304"/>
        <item x="192"/>
        <item x="391"/>
        <item x="104"/>
        <item x="371"/>
        <item x="237"/>
        <item x="253"/>
        <item x="241"/>
        <item x="503"/>
        <item x="11"/>
        <item x="339"/>
        <item x="158"/>
        <item x="7"/>
        <item x="0"/>
        <item x="443"/>
        <item x="308"/>
        <item x="380"/>
        <item x="10"/>
        <item x="439"/>
        <item x="264"/>
        <item x="94"/>
        <item x="229"/>
        <item x="72"/>
        <item x="452"/>
        <item x="233"/>
        <item x="268"/>
        <item x="340"/>
        <item x="511"/>
        <item x="382"/>
        <item x="258"/>
        <item x="30"/>
        <item x="491"/>
        <item x="210"/>
        <item x="399"/>
        <item x="66"/>
        <item x="101"/>
        <item x="82"/>
        <item x="23"/>
        <item x="496"/>
        <item x="122"/>
        <item x="142"/>
        <item x="214"/>
        <item x="157"/>
        <item x="186"/>
        <item x="351"/>
        <item x="20"/>
        <item x="485"/>
        <item x="97"/>
        <item x="61"/>
        <item x="409"/>
        <item x="259"/>
        <item x="514"/>
        <item x="507"/>
        <item x="116"/>
        <item x="383"/>
        <item x="150"/>
        <item x="330"/>
        <item x="73"/>
        <item x="217"/>
        <item x="211"/>
        <item x="403"/>
        <item x="118"/>
        <item x="96"/>
        <item x="490"/>
        <item x="395"/>
        <item x="430"/>
        <item x="247"/>
        <item x="260"/>
        <item x="178"/>
        <item x="422"/>
        <item x="498"/>
        <item x="154"/>
        <item x="420"/>
        <item x="480"/>
        <item x="111"/>
        <item x="300"/>
        <item x="57"/>
        <item x="446"/>
        <item x="62"/>
        <item x="60"/>
        <item x="100"/>
        <item x="314"/>
        <item x="319"/>
        <item x="468"/>
        <item x="481"/>
        <item x="316"/>
        <item x="357"/>
        <item x="84"/>
        <item x="161"/>
        <item x="405"/>
        <item x="261"/>
        <item x="311"/>
        <item x="234"/>
        <item x="168"/>
        <item x="398"/>
        <item x="193"/>
        <item x="93"/>
        <item x="106"/>
        <item x="494"/>
        <item x="379"/>
        <item x="164"/>
        <item x="400"/>
        <item x="335"/>
        <item x="454"/>
        <item x="317"/>
        <item x="469"/>
        <item x="152"/>
        <item x="249"/>
        <item x="115"/>
        <item x="79"/>
        <item x="327"/>
        <item x="385"/>
        <item x="372"/>
        <item x="184"/>
        <item x="1"/>
        <item x="376"/>
        <item x="68"/>
        <item x="248"/>
        <item x="95"/>
        <item x="102"/>
        <item x="44"/>
        <item x="354"/>
        <item x="5"/>
        <item x="239"/>
        <item x="179"/>
        <item x="90"/>
        <item x="140"/>
        <item x="401"/>
        <item x="445"/>
        <item x="33"/>
        <item x="359"/>
        <item x="329"/>
        <item x="182"/>
        <item x="364"/>
        <item x="289"/>
        <item x="486"/>
        <item x="426"/>
        <item x="45"/>
        <item x="286"/>
        <item x="14"/>
        <item x="153"/>
        <item x="156"/>
        <item x="276"/>
        <item x="387"/>
        <item x="230"/>
        <item x="296"/>
        <item x="113"/>
        <item x="174"/>
        <item x="367"/>
        <item x="427"/>
        <item x="147"/>
        <item x="205"/>
        <item x="269"/>
        <item x="488"/>
        <item x="489"/>
        <item x="478"/>
        <item x="125"/>
        <item x="207"/>
        <item x="281"/>
        <item x="43"/>
        <item x="63"/>
        <item x="466"/>
        <item x="428"/>
        <item x="413"/>
        <item x="99"/>
        <item x="109"/>
        <item x="342"/>
        <item x="410"/>
        <item x="449"/>
        <item x="412"/>
        <item x="279"/>
        <item x="199"/>
        <item x="280"/>
        <item x="266"/>
        <item x="141"/>
        <item x="459"/>
        <item x="78"/>
        <item x="208"/>
        <item x="434"/>
        <item x="504"/>
        <item x="368"/>
        <item x="58"/>
        <item x="271"/>
        <item x="501"/>
        <item x="13"/>
        <item x="251"/>
        <item x="360"/>
        <item x="173"/>
        <item x="215"/>
        <item x="213"/>
        <item x="263"/>
        <item x="187"/>
        <item x="479"/>
        <item x="475"/>
        <item x="162"/>
        <item x="267"/>
        <item x="225"/>
        <item x="305"/>
        <item x="139"/>
        <item x="98"/>
        <item x="338"/>
        <item x="226"/>
        <item x="206"/>
        <item x="290"/>
        <item x="441"/>
        <item x="476"/>
        <item x="408"/>
        <item x="361"/>
        <item x="134"/>
        <item x="243"/>
        <item x="143"/>
        <item x="107"/>
        <item x="240"/>
        <item x="473"/>
        <item x="497"/>
        <item x="431"/>
        <item x="40"/>
        <item x="411"/>
        <item x="26"/>
        <item x="463"/>
        <item x="175"/>
        <item x="343"/>
        <item x="328"/>
        <item x="6"/>
        <item x="46"/>
        <item x="185"/>
        <item x="436"/>
        <item x="294"/>
        <item x="42"/>
        <item x="435"/>
        <item x="3"/>
        <item x="180"/>
        <item x="165"/>
        <item x="273"/>
        <item x="50"/>
        <item x="191"/>
        <item x="250"/>
        <item x="24"/>
        <item x="244"/>
        <item x="356"/>
        <item x="65"/>
        <item x="120"/>
        <item x="465"/>
        <item x="15"/>
        <item x="362"/>
        <item x="4"/>
        <item x="238"/>
        <item x="34"/>
        <item x="313"/>
        <item x="149"/>
        <item x="458"/>
        <item x="326"/>
        <item x="315"/>
        <item x="41"/>
        <item x="25"/>
        <item x="341"/>
        <item x="69"/>
        <item x="396"/>
        <item x="397"/>
        <item x="59"/>
        <item x="419"/>
        <item x="256"/>
        <item x="447"/>
        <item x="298"/>
        <item x="393"/>
        <item x="2"/>
        <item x="320"/>
        <item x="334"/>
        <item x="451"/>
        <item x="423"/>
        <item x="257"/>
        <item x="80"/>
        <item x="350"/>
        <item x="203"/>
        <item x="117"/>
        <item x="417"/>
        <item x="151"/>
        <item x="254"/>
        <item x="190"/>
        <item x="347"/>
        <item x="47"/>
        <item x="75"/>
        <item x="310"/>
        <item x="414"/>
        <item x="227"/>
        <item x="131"/>
        <item x="474"/>
        <item x="471"/>
        <item x="392"/>
        <item x="477"/>
        <item x="112"/>
        <item x="17"/>
        <item x="484"/>
        <item x="127"/>
        <item x="228"/>
        <item x="429"/>
        <item x="52"/>
        <item x="37"/>
        <item x="124"/>
        <item x="167"/>
        <item x="418"/>
        <item x="274"/>
        <item x="159"/>
        <item x="220"/>
        <item x="506"/>
        <item x="32"/>
        <item x="297"/>
        <item x="386"/>
        <item x="432"/>
        <item x="369"/>
        <item x="406"/>
        <item x="136"/>
        <item x="482"/>
        <item x="472"/>
        <item x="500"/>
        <item x="83"/>
        <item x="358"/>
        <item x="373"/>
        <item x="85"/>
        <item x="425"/>
        <item x="499"/>
        <item x="236"/>
        <item x="450"/>
        <item x="36"/>
        <item x="48"/>
        <item x="196"/>
        <item x="16"/>
        <item x="303"/>
        <item x="35"/>
        <item x="336"/>
        <item x="64"/>
        <item x="252"/>
        <item x="224"/>
        <item x="318"/>
        <item x="255"/>
        <item x="381"/>
        <item x="242"/>
        <item x="67"/>
        <item x="81"/>
        <item x="145"/>
        <item x="495"/>
        <item x="202"/>
        <item x="144"/>
        <item x="345"/>
        <item x="89"/>
        <item x="188"/>
        <item x="212"/>
        <item x="129"/>
        <item x="284"/>
        <item x="325"/>
        <item x="138"/>
        <item x="265"/>
        <item x="512"/>
        <item x="333"/>
        <item x="49"/>
        <item x="394"/>
        <item x="312"/>
        <item x="222"/>
        <item x="492"/>
        <item x="19"/>
        <item x="352"/>
        <item x="18"/>
        <item x="56"/>
        <item x="337"/>
        <item x="172"/>
        <item x="91"/>
        <item x="200"/>
        <item x="378"/>
        <item x="195"/>
        <item x="421"/>
        <item x="353"/>
        <item x="12"/>
        <item x="155"/>
        <item x="307"/>
        <item x="246"/>
        <item x="39"/>
        <item x="283"/>
        <item x="288"/>
        <item x="28"/>
        <item x="467"/>
        <item x="384"/>
        <item x="87"/>
        <item x="292"/>
        <item x="70"/>
        <item x="31"/>
        <item x="163"/>
        <item x="377"/>
        <item x="493"/>
        <item x="135"/>
        <item x="390"/>
        <item x="194"/>
        <item x="86"/>
        <item x="201"/>
        <item x="309"/>
        <item x="130"/>
        <item x="160"/>
        <item x="375"/>
        <item x="177"/>
        <item x="54"/>
        <item x="231"/>
        <item x="306"/>
        <item x="502"/>
        <item x="470"/>
        <item x="389"/>
        <item x="183"/>
        <item x="181"/>
        <item x="407"/>
        <item x="404"/>
        <item x="204"/>
        <item x="219"/>
        <item x="457"/>
        <item x="277"/>
        <item x="198"/>
        <item x="221"/>
        <item x="74"/>
        <item x="270"/>
        <item x="92"/>
        <item x="348"/>
        <item x="344"/>
        <item x="487"/>
        <item x="275"/>
        <item x="262"/>
        <item x="455"/>
        <item x="331"/>
        <item x="126"/>
        <item x="444"/>
        <item x="171"/>
        <item x="483"/>
        <item x="293"/>
        <item x="27"/>
        <item x="346"/>
        <item x="110"/>
        <item x="505"/>
        <item x="462"/>
        <item x="291"/>
        <item x="8"/>
        <item x="216"/>
        <item x="105"/>
        <item x="415"/>
        <item x="370"/>
        <item x="51"/>
        <item x="108"/>
        <item x="365"/>
        <item x="355"/>
        <item x="456"/>
        <item x="223"/>
        <item x="123"/>
        <item x="440"/>
        <item x="374"/>
        <item x="169"/>
        <item x="323"/>
        <item x="218"/>
        <item x="133"/>
        <item x="301"/>
        <item x="38"/>
        <item x="322"/>
        <item x="148"/>
        <item x="366"/>
        <item x="189"/>
        <item x="170"/>
        <item x="9"/>
        <item x="510"/>
        <item x="114"/>
        <item x="176"/>
        <item x="438"/>
        <item x="121"/>
        <item x="442"/>
        <item x="76"/>
        <item x="513"/>
        <item x="166"/>
        <item x="119"/>
        <item x="460"/>
        <item x="29"/>
        <item x="508"/>
        <item x="416"/>
        <item x="324"/>
        <item x="197"/>
        <item x="88"/>
        <item x="448"/>
        <item x="137"/>
        <item x="437"/>
        <item x="302"/>
        <item x="349"/>
        <item x="245"/>
        <item x="285"/>
        <item t="default"/>
      </items>
    </pivotField>
    <pivotField showAll="0"/>
    <pivotField showAll="0"/>
    <pivotField showAll="0"/>
    <pivotField showAll="0">
      <items count="25">
        <item h="1" x="18"/>
        <item h="1" x="5"/>
        <item h="1" x="3"/>
        <item h="1" x="15"/>
        <item h="1" x="9"/>
        <item x="23"/>
        <item x="8"/>
        <item h="1" x="13"/>
        <item h="1" x="7"/>
        <item x="22"/>
        <item h="1" x="21"/>
        <item h="1" x="1"/>
        <item h="1" x="11"/>
        <item h="1" x="14"/>
        <item h="1" x="10"/>
        <item h="1" x="4"/>
        <item h="1" x="20"/>
        <item h="1" x="12"/>
        <item h="1" x="16"/>
        <item x="17"/>
        <item x="19"/>
        <item h="1" x="6"/>
        <item h="1" x="0"/>
        <item h="1" x="2"/>
        <item t="default"/>
      </items>
    </pivotField>
    <pivotField showAll="0">
      <items count="7">
        <item x="5"/>
        <item x="1"/>
        <item x="4"/>
        <item x="2"/>
        <item x="3"/>
        <item x="0"/>
        <item t="default"/>
      </items>
    </pivotField>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Total Sales" fld="9"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982BD4-8A2B-4FDF-B7FB-E654325A7A12}" name="PivotTable6"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27">
  <location ref="Q37:R42" firstHeaderRow="1" firstDataRow="1" firstDataCol="1"/>
  <pivotFields count="17">
    <pivotField showAll="0"/>
    <pivotField numFmtId="164" showAll="0">
      <items count="516">
        <item x="282"/>
        <item x="388"/>
        <item x="402"/>
        <item x="77"/>
        <item x="453"/>
        <item x="235"/>
        <item x="71"/>
        <item x="363"/>
        <item x="461"/>
        <item x="53"/>
        <item x="299"/>
        <item x="287"/>
        <item x="509"/>
        <item x="464"/>
        <item x="278"/>
        <item x="332"/>
        <item x="209"/>
        <item x="103"/>
        <item x="128"/>
        <item x="146"/>
        <item x="272"/>
        <item x="22"/>
        <item x="232"/>
        <item x="21"/>
        <item x="321"/>
        <item x="295"/>
        <item x="433"/>
        <item x="55"/>
        <item x="132"/>
        <item x="424"/>
        <item x="304"/>
        <item x="192"/>
        <item x="391"/>
        <item x="104"/>
        <item x="371"/>
        <item x="237"/>
        <item x="253"/>
        <item x="241"/>
        <item x="503"/>
        <item x="11"/>
        <item x="339"/>
        <item x="158"/>
        <item x="7"/>
        <item x="0"/>
        <item x="443"/>
        <item x="308"/>
        <item x="380"/>
        <item x="10"/>
        <item x="439"/>
        <item x="264"/>
        <item x="94"/>
        <item x="229"/>
        <item x="72"/>
        <item x="452"/>
        <item x="233"/>
        <item x="268"/>
        <item x="340"/>
        <item x="511"/>
        <item x="382"/>
        <item x="258"/>
        <item x="30"/>
        <item x="491"/>
        <item x="210"/>
        <item x="399"/>
        <item x="66"/>
        <item x="101"/>
        <item x="82"/>
        <item x="23"/>
        <item x="496"/>
        <item x="122"/>
        <item x="142"/>
        <item x="214"/>
        <item x="157"/>
        <item x="186"/>
        <item x="351"/>
        <item x="20"/>
        <item x="485"/>
        <item x="97"/>
        <item x="61"/>
        <item x="409"/>
        <item x="259"/>
        <item x="514"/>
        <item x="507"/>
        <item x="116"/>
        <item x="383"/>
        <item x="150"/>
        <item x="330"/>
        <item x="73"/>
        <item x="217"/>
        <item x="211"/>
        <item x="403"/>
        <item x="118"/>
        <item x="96"/>
        <item x="490"/>
        <item x="395"/>
        <item x="430"/>
        <item x="247"/>
        <item x="260"/>
        <item x="178"/>
        <item x="422"/>
        <item x="498"/>
        <item x="154"/>
        <item x="420"/>
        <item x="480"/>
        <item x="111"/>
        <item x="300"/>
        <item x="57"/>
        <item x="446"/>
        <item x="62"/>
        <item x="60"/>
        <item x="100"/>
        <item x="314"/>
        <item x="319"/>
        <item x="468"/>
        <item x="481"/>
        <item x="316"/>
        <item x="357"/>
        <item x="84"/>
        <item x="161"/>
        <item x="405"/>
        <item x="261"/>
        <item x="311"/>
        <item x="234"/>
        <item x="168"/>
        <item x="398"/>
        <item x="193"/>
        <item x="93"/>
        <item x="106"/>
        <item x="494"/>
        <item x="379"/>
        <item x="164"/>
        <item x="400"/>
        <item x="335"/>
        <item x="454"/>
        <item x="317"/>
        <item x="469"/>
        <item x="152"/>
        <item x="249"/>
        <item x="115"/>
        <item x="79"/>
        <item x="327"/>
        <item x="385"/>
        <item x="372"/>
        <item x="184"/>
        <item x="1"/>
        <item x="376"/>
        <item x="68"/>
        <item x="248"/>
        <item x="95"/>
        <item x="102"/>
        <item x="44"/>
        <item x="354"/>
        <item x="5"/>
        <item x="239"/>
        <item x="179"/>
        <item x="90"/>
        <item x="140"/>
        <item x="401"/>
        <item x="445"/>
        <item x="33"/>
        <item x="359"/>
        <item x="329"/>
        <item x="182"/>
        <item x="364"/>
        <item x="289"/>
        <item x="486"/>
        <item x="426"/>
        <item x="45"/>
        <item x="286"/>
        <item x="14"/>
        <item x="153"/>
        <item x="156"/>
        <item x="276"/>
        <item x="387"/>
        <item x="230"/>
        <item x="296"/>
        <item x="113"/>
        <item x="174"/>
        <item x="367"/>
        <item x="427"/>
        <item x="147"/>
        <item x="205"/>
        <item x="269"/>
        <item x="488"/>
        <item x="489"/>
        <item x="478"/>
        <item x="125"/>
        <item x="207"/>
        <item x="281"/>
        <item x="43"/>
        <item x="63"/>
        <item x="466"/>
        <item x="428"/>
        <item x="413"/>
        <item x="99"/>
        <item x="109"/>
        <item x="342"/>
        <item x="410"/>
        <item x="449"/>
        <item x="412"/>
        <item x="279"/>
        <item x="199"/>
        <item x="280"/>
        <item x="266"/>
        <item x="141"/>
        <item x="459"/>
        <item x="78"/>
        <item x="208"/>
        <item x="434"/>
        <item x="504"/>
        <item x="368"/>
        <item x="58"/>
        <item x="271"/>
        <item x="501"/>
        <item x="13"/>
        <item x="251"/>
        <item x="360"/>
        <item x="173"/>
        <item x="215"/>
        <item x="213"/>
        <item x="263"/>
        <item x="187"/>
        <item x="479"/>
        <item x="475"/>
        <item x="162"/>
        <item x="267"/>
        <item x="225"/>
        <item x="305"/>
        <item x="139"/>
        <item x="98"/>
        <item x="338"/>
        <item x="226"/>
        <item x="206"/>
        <item x="290"/>
        <item x="441"/>
        <item x="476"/>
        <item x="408"/>
        <item x="361"/>
        <item x="134"/>
        <item x="243"/>
        <item x="143"/>
        <item x="107"/>
        <item x="240"/>
        <item x="473"/>
        <item x="497"/>
        <item x="431"/>
        <item x="40"/>
        <item x="411"/>
        <item x="26"/>
        <item x="463"/>
        <item x="175"/>
        <item x="343"/>
        <item x="328"/>
        <item x="6"/>
        <item x="46"/>
        <item x="185"/>
        <item x="436"/>
        <item x="294"/>
        <item x="42"/>
        <item x="435"/>
        <item x="3"/>
        <item x="180"/>
        <item x="165"/>
        <item x="273"/>
        <item x="50"/>
        <item x="191"/>
        <item x="250"/>
        <item x="24"/>
        <item x="244"/>
        <item x="356"/>
        <item x="65"/>
        <item x="120"/>
        <item x="465"/>
        <item x="15"/>
        <item x="362"/>
        <item x="4"/>
        <item x="238"/>
        <item x="34"/>
        <item x="313"/>
        <item x="149"/>
        <item x="458"/>
        <item x="326"/>
        <item x="315"/>
        <item x="41"/>
        <item x="25"/>
        <item x="341"/>
        <item x="69"/>
        <item x="396"/>
        <item x="397"/>
        <item x="59"/>
        <item x="419"/>
        <item x="256"/>
        <item x="447"/>
        <item x="298"/>
        <item x="393"/>
        <item x="2"/>
        <item x="320"/>
        <item x="334"/>
        <item x="451"/>
        <item x="423"/>
        <item x="257"/>
        <item x="80"/>
        <item x="350"/>
        <item x="203"/>
        <item x="117"/>
        <item x="417"/>
        <item x="151"/>
        <item x="254"/>
        <item x="190"/>
        <item x="347"/>
        <item x="47"/>
        <item x="75"/>
        <item x="310"/>
        <item x="414"/>
        <item x="227"/>
        <item x="131"/>
        <item x="474"/>
        <item x="471"/>
        <item x="392"/>
        <item x="477"/>
        <item x="112"/>
        <item x="17"/>
        <item x="484"/>
        <item x="127"/>
        <item x="228"/>
        <item x="429"/>
        <item x="52"/>
        <item x="37"/>
        <item x="124"/>
        <item x="167"/>
        <item x="418"/>
        <item x="274"/>
        <item x="159"/>
        <item x="220"/>
        <item x="506"/>
        <item x="32"/>
        <item x="297"/>
        <item x="386"/>
        <item x="432"/>
        <item x="369"/>
        <item x="406"/>
        <item x="136"/>
        <item x="482"/>
        <item x="472"/>
        <item x="500"/>
        <item x="83"/>
        <item x="358"/>
        <item x="373"/>
        <item x="85"/>
        <item x="425"/>
        <item x="499"/>
        <item x="236"/>
        <item x="450"/>
        <item x="36"/>
        <item x="48"/>
        <item x="196"/>
        <item x="16"/>
        <item x="303"/>
        <item x="35"/>
        <item x="336"/>
        <item x="64"/>
        <item x="252"/>
        <item x="224"/>
        <item x="318"/>
        <item x="255"/>
        <item x="381"/>
        <item x="242"/>
        <item x="67"/>
        <item x="81"/>
        <item x="145"/>
        <item x="495"/>
        <item x="202"/>
        <item x="144"/>
        <item x="345"/>
        <item x="89"/>
        <item x="188"/>
        <item x="212"/>
        <item x="129"/>
        <item x="284"/>
        <item x="325"/>
        <item x="138"/>
        <item x="265"/>
        <item x="512"/>
        <item x="333"/>
        <item x="49"/>
        <item x="394"/>
        <item x="312"/>
        <item x="222"/>
        <item x="492"/>
        <item x="19"/>
        <item x="352"/>
        <item x="18"/>
        <item x="56"/>
        <item x="337"/>
        <item x="172"/>
        <item x="91"/>
        <item x="200"/>
        <item x="378"/>
        <item x="195"/>
        <item x="421"/>
        <item x="353"/>
        <item x="12"/>
        <item x="155"/>
        <item x="307"/>
        <item x="246"/>
        <item x="39"/>
        <item x="283"/>
        <item x="288"/>
        <item x="28"/>
        <item x="467"/>
        <item x="384"/>
        <item x="87"/>
        <item x="292"/>
        <item x="70"/>
        <item x="31"/>
        <item x="163"/>
        <item x="377"/>
        <item x="493"/>
        <item x="135"/>
        <item x="390"/>
        <item x="194"/>
        <item x="86"/>
        <item x="201"/>
        <item x="309"/>
        <item x="130"/>
        <item x="160"/>
        <item x="375"/>
        <item x="177"/>
        <item x="54"/>
        <item x="231"/>
        <item x="306"/>
        <item x="502"/>
        <item x="470"/>
        <item x="389"/>
        <item x="183"/>
        <item x="181"/>
        <item x="407"/>
        <item x="404"/>
        <item x="204"/>
        <item x="219"/>
        <item x="457"/>
        <item x="277"/>
        <item x="198"/>
        <item x="221"/>
        <item x="74"/>
        <item x="270"/>
        <item x="92"/>
        <item x="348"/>
        <item x="344"/>
        <item x="487"/>
        <item x="275"/>
        <item x="262"/>
        <item x="455"/>
        <item x="331"/>
        <item x="126"/>
        <item x="444"/>
        <item x="171"/>
        <item x="483"/>
        <item x="293"/>
        <item x="27"/>
        <item x="346"/>
        <item x="110"/>
        <item x="505"/>
        <item x="462"/>
        <item x="291"/>
        <item x="8"/>
        <item x="216"/>
        <item x="105"/>
        <item x="415"/>
        <item x="370"/>
        <item x="51"/>
        <item x="108"/>
        <item x="365"/>
        <item x="355"/>
        <item x="456"/>
        <item x="223"/>
        <item x="123"/>
        <item x="440"/>
        <item x="374"/>
        <item x="169"/>
        <item x="323"/>
        <item x="218"/>
        <item x="133"/>
        <item x="301"/>
        <item x="38"/>
        <item x="322"/>
        <item x="148"/>
        <item x="366"/>
        <item x="189"/>
        <item x="170"/>
        <item x="9"/>
        <item x="510"/>
        <item x="114"/>
        <item x="176"/>
        <item x="438"/>
        <item x="121"/>
        <item x="442"/>
        <item x="76"/>
        <item x="513"/>
        <item x="166"/>
        <item x="119"/>
        <item x="460"/>
        <item x="29"/>
        <item x="508"/>
        <item x="416"/>
        <item x="324"/>
        <item x="197"/>
        <item x="88"/>
        <item x="448"/>
        <item x="137"/>
        <item x="437"/>
        <item x="302"/>
        <item x="349"/>
        <item x="245"/>
        <item x="285"/>
        <item t="default"/>
      </items>
    </pivotField>
    <pivotField showAll="0"/>
    <pivotField showAll="0"/>
    <pivotField showAll="0"/>
    <pivotField showAll="0">
      <items count="25">
        <item h="1" x="18"/>
        <item h="1" x="5"/>
        <item h="1" x="3"/>
        <item h="1" x="15"/>
        <item h="1" x="9"/>
        <item x="23"/>
        <item x="8"/>
        <item h="1" x="13"/>
        <item h="1" x="7"/>
        <item x="22"/>
        <item h="1" x="21"/>
        <item h="1" x="1"/>
        <item h="1" x="11"/>
        <item h="1" x="14"/>
        <item h="1" x="10"/>
        <item h="1" x="4"/>
        <item h="1" x="20"/>
        <item h="1" x="12"/>
        <item h="1" x="16"/>
        <item x="17"/>
        <item x="19"/>
        <item h="1" x="6"/>
        <item h="1" x="0"/>
        <item h="1" x="2"/>
        <item t="default"/>
      </items>
    </pivotField>
    <pivotField axis="axisRow" showAll="0">
      <items count="7">
        <item x="5"/>
        <item x="1"/>
        <item x="4"/>
        <item x="2"/>
        <item x="3"/>
        <item x="0"/>
        <item t="default"/>
      </items>
    </pivotField>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5">
    <i>
      <x v="2"/>
    </i>
    <i>
      <x v="3"/>
    </i>
    <i>
      <x v="4"/>
    </i>
    <i>
      <x v="5"/>
    </i>
    <i t="grand">
      <x/>
    </i>
  </rowItems>
  <colItems count="1">
    <i/>
  </colItems>
  <dataFields count="1">
    <dataField name="Sum of Total Sales" fld="9" baseField="0" baseItem="0"/>
  </dataFields>
  <chartFormats count="1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6" count="1" selected="0">
            <x v="0"/>
          </reference>
        </references>
      </pivotArea>
    </chartFormat>
    <chartFormat chart="26" format="10">
      <pivotArea type="data" outline="0" fieldPosition="0">
        <references count="2">
          <reference field="4294967294" count="1" selected="0">
            <x v="0"/>
          </reference>
          <reference field="6" count="1" selected="0">
            <x v="1"/>
          </reference>
        </references>
      </pivotArea>
    </chartFormat>
    <chartFormat chart="26" format="11">
      <pivotArea type="data" outline="0" fieldPosition="0">
        <references count="2">
          <reference field="4294967294" count="1" selected="0">
            <x v="0"/>
          </reference>
          <reference field="6" count="1" selected="0">
            <x v="2"/>
          </reference>
        </references>
      </pivotArea>
    </chartFormat>
    <chartFormat chart="26" format="12">
      <pivotArea type="data" outline="0" fieldPosition="0">
        <references count="2">
          <reference field="4294967294" count="1" selected="0">
            <x v="0"/>
          </reference>
          <reference field="6" count="1" selected="0">
            <x v="3"/>
          </reference>
        </references>
      </pivotArea>
    </chartFormat>
    <chartFormat chart="26" format="13">
      <pivotArea type="data" outline="0" fieldPosition="0">
        <references count="2">
          <reference field="4294967294" count="1" selected="0">
            <x v="0"/>
          </reference>
          <reference field="6" count="1" selected="0">
            <x v="4"/>
          </reference>
        </references>
      </pivotArea>
    </chartFormat>
    <chartFormat chart="26" format="14">
      <pivotArea type="data" outline="0" fieldPosition="0">
        <references count="2">
          <reference field="4294967294" count="1" selected="0">
            <x v="0"/>
          </reference>
          <reference field="6" count="1" selected="0">
            <x v="5"/>
          </reference>
        </references>
      </pivotArea>
    </chartFormat>
    <chartFormat chart="16" format="1">
      <pivotArea type="data" outline="0" fieldPosition="0">
        <references count="2">
          <reference field="4294967294" count="1" selected="0">
            <x v="0"/>
          </reference>
          <reference field="6" count="1" selected="0">
            <x v="0"/>
          </reference>
        </references>
      </pivotArea>
    </chartFormat>
    <chartFormat chart="16" format="2">
      <pivotArea type="data" outline="0" fieldPosition="0">
        <references count="2">
          <reference field="4294967294" count="1" selected="0">
            <x v="0"/>
          </reference>
          <reference field="6" count="1" selected="0">
            <x v="2"/>
          </reference>
        </references>
      </pivotArea>
    </chartFormat>
    <chartFormat chart="16" format="3">
      <pivotArea type="data" outline="0" fieldPosition="0">
        <references count="2">
          <reference field="4294967294" count="1" selected="0">
            <x v="0"/>
          </reference>
          <reference field="6" count="1" selected="0">
            <x v="3"/>
          </reference>
        </references>
      </pivotArea>
    </chartFormat>
    <chartFormat chart="16" format="4">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3500CE-8357-4AED-BDE4-02C2BA82B1C2}" name="PivotTable5"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8">
  <location ref="A46:C52" firstHeaderRow="0" firstDataRow="1" firstDataCol="1"/>
  <pivotFields count="17">
    <pivotField showAll="0"/>
    <pivotField numFmtId="164" showAll="0">
      <items count="516">
        <item x="282"/>
        <item x="388"/>
        <item x="402"/>
        <item x="77"/>
        <item x="453"/>
        <item x="235"/>
        <item x="71"/>
        <item x="363"/>
        <item x="461"/>
        <item x="53"/>
        <item x="299"/>
        <item x="287"/>
        <item x="509"/>
        <item x="464"/>
        <item x="278"/>
        <item x="332"/>
        <item x="209"/>
        <item x="103"/>
        <item x="128"/>
        <item x="146"/>
        <item x="272"/>
        <item x="22"/>
        <item x="232"/>
        <item x="21"/>
        <item x="321"/>
        <item x="295"/>
        <item x="433"/>
        <item x="55"/>
        <item x="132"/>
        <item x="424"/>
        <item x="304"/>
        <item x="192"/>
        <item x="391"/>
        <item x="104"/>
        <item x="371"/>
        <item x="237"/>
        <item x="253"/>
        <item x="241"/>
        <item x="503"/>
        <item x="11"/>
        <item x="339"/>
        <item x="158"/>
        <item x="7"/>
        <item x="0"/>
        <item x="443"/>
        <item x="308"/>
        <item x="380"/>
        <item x="10"/>
        <item x="439"/>
        <item x="264"/>
        <item x="94"/>
        <item x="229"/>
        <item x="72"/>
        <item x="452"/>
        <item x="233"/>
        <item x="268"/>
        <item x="340"/>
        <item x="511"/>
        <item x="382"/>
        <item x="258"/>
        <item x="30"/>
        <item x="491"/>
        <item x="210"/>
        <item x="399"/>
        <item x="66"/>
        <item x="101"/>
        <item x="82"/>
        <item x="23"/>
        <item x="496"/>
        <item x="122"/>
        <item x="142"/>
        <item x="214"/>
        <item x="157"/>
        <item x="186"/>
        <item x="351"/>
        <item x="20"/>
        <item x="485"/>
        <item x="97"/>
        <item x="61"/>
        <item x="409"/>
        <item x="259"/>
        <item x="514"/>
        <item x="507"/>
        <item x="116"/>
        <item x="383"/>
        <item x="150"/>
        <item x="330"/>
        <item x="73"/>
        <item x="217"/>
        <item x="211"/>
        <item x="403"/>
        <item x="118"/>
        <item x="96"/>
        <item x="490"/>
        <item x="395"/>
        <item x="430"/>
        <item x="247"/>
        <item x="260"/>
        <item x="178"/>
        <item x="422"/>
        <item x="498"/>
        <item x="154"/>
        <item x="420"/>
        <item x="480"/>
        <item x="111"/>
        <item x="300"/>
        <item x="57"/>
        <item x="446"/>
        <item x="62"/>
        <item x="60"/>
        <item x="100"/>
        <item x="314"/>
        <item x="319"/>
        <item x="468"/>
        <item x="481"/>
        <item x="316"/>
        <item x="357"/>
        <item x="84"/>
        <item x="161"/>
        <item x="405"/>
        <item x="261"/>
        <item x="311"/>
        <item x="234"/>
        <item x="168"/>
        <item x="398"/>
        <item x="193"/>
        <item x="93"/>
        <item x="106"/>
        <item x="494"/>
        <item x="379"/>
        <item x="164"/>
        <item x="400"/>
        <item x="335"/>
        <item x="454"/>
        <item x="317"/>
        <item x="469"/>
        <item x="152"/>
        <item x="249"/>
        <item x="115"/>
        <item x="79"/>
        <item x="327"/>
        <item x="385"/>
        <item x="372"/>
        <item x="184"/>
        <item x="1"/>
        <item x="376"/>
        <item x="68"/>
        <item x="248"/>
        <item x="95"/>
        <item x="102"/>
        <item x="44"/>
        <item x="354"/>
        <item x="5"/>
        <item x="239"/>
        <item x="179"/>
        <item x="90"/>
        <item x="140"/>
        <item x="401"/>
        <item x="445"/>
        <item x="33"/>
        <item x="359"/>
        <item x="329"/>
        <item x="182"/>
        <item x="364"/>
        <item x="289"/>
        <item x="486"/>
        <item x="426"/>
        <item x="45"/>
        <item x="286"/>
        <item x="14"/>
        <item x="153"/>
        <item x="156"/>
        <item x="276"/>
        <item x="387"/>
        <item x="230"/>
        <item x="296"/>
        <item x="113"/>
        <item x="174"/>
        <item x="367"/>
        <item x="427"/>
        <item x="147"/>
        <item x="205"/>
        <item x="269"/>
        <item x="488"/>
        <item x="489"/>
        <item x="478"/>
        <item x="125"/>
        <item x="207"/>
        <item x="281"/>
        <item x="43"/>
        <item x="63"/>
        <item x="466"/>
        <item x="428"/>
        <item x="413"/>
        <item x="99"/>
        <item x="109"/>
        <item x="342"/>
        <item x="410"/>
        <item x="449"/>
        <item x="412"/>
        <item x="279"/>
        <item x="199"/>
        <item x="280"/>
        <item x="266"/>
        <item x="141"/>
        <item x="459"/>
        <item x="78"/>
        <item x="208"/>
        <item x="434"/>
        <item x="504"/>
        <item x="368"/>
        <item x="58"/>
        <item x="271"/>
        <item x="501"/>
        <item x="13"/>
        <item x="251"/>
        <item x="360"/>
        <item x="173"/>
        <item x="215"/>
        <item x="213"/>
        <item x="263"/>
        <item x="187"/>
        <item x="479"/>
        <item x="475"/>
        <item x="162"/>
        <item x="267"/>
        <item x="225"/>
        <item x="305"/>
        <item x="139"/>
        <item x="98"/>
        <item x="338"/>
        <item x="226"/>
        <item x="206"/>
        <item x="290"/>
        <item x="441"/>
        <item x="476"/>
        <item x="408"/>
        <item x="361"/>
        <item x="134"/>
        <item x="243"/>
        <item x="143"/>
        <item x="107"/>
        <item x="240"/>
        <item x="473"/>
        <item x="497"/>
        <item x="431"/>
        <item x="40"/>
        <item x="411"/>
        <item x="26"/>
        <item x="463"/>
        <item x="175"/>
        <item x="343"/>
        <item x="328"/>
        <item x="6"/>
        <item x="46"/>
        <item x="185"/>
        <item x="436"/>
        <item x="294"/>
        <item x="42"/>
        <item x="435"/>
        <item x="3"/>
        <item x="180"/>
        <item x="165"/>
        <item x="273"/>
        <item x="50"/>
        <item x="191"/>
        <item x="250"/>
        <item x="24"/>
        <item x="244"/>
        <item x="356"/>
        <item x="65"/>
        <item x="120"/>
        <item x="465"/>
        <item x="15"/>
        <item x="362"/>
        <item x="4"/>
        <item x="238"/>
        <item x="34"/>
        <item x="313"/>
        <item x="149"/>
        <item x="458"/>
        <item x="326"/>
        <item x="315"/>
        <item x="41"/>
        <item x="25"/>
        <item x="341"/>
        <item x="69"/>
        <item x="396"/>
        <item x="397"/>
        <item x="59"/>
        <item x="419"/>
        <item x="256"/>
        <item x="447"/>
        <item x="298"/>
        <item x="393"/>
        <item x="2"/>
        <item x="320"/>
        <item x="334"/>
        <item x="451"/>
        <item x="423"/>
        <item x="257"/>
        <item x="80"/>
        <item x="350"/>
        <item x="203"/>
        <item x="117"/>
        <item x="417"/>
        <item x="151"/>
        <item x="254"/>
        <item x="190"/>
        <item x="347"/>
        <item x="47"/>
        <item x="75"/>
        <item x="310"/>
        <item x="414"/>
        <item x="227"/>
        <item x="131"/>
        <item x="474"/>
        <item x="471"/>
        <item x="392"/>
        <item x="477"/>
        <item x="112"/>
        <item x="17"/>
        <item x="484"/>
        <item x="127"/>
        <item x="228"/>
        <item x="429"/>
        <item x="52"/>
        <item x="37"/>
        <item x="124"/>
        <item x="167"/>
        <item x="418"/>
        <item x="274"/>
        <item x="159"/>
        <item x="220"/>
        <item x="506"/>
        <item x="32"/>
        <item x="297"/>
        <item x="386"/>
        <item x="432"/>
        <item x="369"/>
        <item x="406"/>
        <item x="136"/>
        <item x="482"/>
        <item x="472"/>
        <item x="500"/>
        <item x="83"/>
        <item x="358"/>
        <item x="373"/>
        <item x="85"/>
        <item x="425"/>
        <item x="499"/>
        <item x="236"/>
        <item x="450"/>
        <item x="36"/>
        <item x="48"/>
        <item x="196"/>
        <item x="16"/>
        <item x="303"/>
        <item x="35"/>
        <item x="336"/>
        <item x="64"/>
        <item x="252"/>
        <item x="224"/>
        <item x="318"/>
        <item x="255"/>
        <item x="381"/>
        <item x="242"/>
        <item x="67"/>
        <item x="81"/>
        <item x="145"/>
        <item x="495"/>
        <item x="202"/>
        <item x="144"/>
        <item x="345"/>
        <item x="89"/>
        <item x="188"/>
        <item x="212"/>
        <item x="129"/>
        <item x="284"/>
        <item x="325"/>
        <item x="138"/>
        <item x="265"/>
        <item x="512"/>
        <item x="333"/>
        <item x="49"/>
        <item x="394"/>
        <item x="312"/>
        <item x="222"/>
        <item x="492"/>
        <item x="19"/>
        <item x="352"/>
        <item x="18"/>
        <item x="56"/>
        <item x="337"/>
        <item x="172"/>
        <item x="91"/>
        <item x="200"/>
        <item x="378"/>
        <item x="195"/>
        <item x="421"/>
        <item x="353"/>
        <item x="12"/>
        <item x="155"/>
        <item x="307"/>
        <item x="246"/>
        <item x="39"/>
        <item x="283"/>
        <item x="288"/>
        <item x="28"/>
        <item x="467"/>
        <item x="384"/>
        <item x="87"/>
        <item x="292"/>
        <item x="70"/>
        <item x="31"/>
        <item x="163"/>
        <item x="377"/>
        <item x="493"/>
        <item x="135"/>
        <item x="390"/>
        <item x="194"/>
        <item x="86"/>
        <item x="201"/>
        <item x="309"/>
        <item x="130"/>
        <item x="160"/>
        <item x="375"/>
        <item x="177"/>
        <item x="54"/>
        <item x="231"/>
        <item x="306"/>
        <item x="502"/>
        <item x="470"/>
        <item x="389"/>
        <item x="183"/>
        <item x="181"/>
        <item x="407"/>
        <item x="404"/>
        <item x="204"/>
        <item x="219"/>
        <item x="457"/>
        <item x="277"/>
        <item x="198"/>
        <item x="221"/>
        <item x="74"/>
        <item x="270"/>
        <item x="92"/>
        <item x="348"/>
        <item x="344"/>
        <item x="487"/>
        <item x="275"/>
        <item x="262"/>
        <item x="455"/>
        <item x="331"/>
        <item x="126"/>
        <item x="444"/>
        <item x="171"/>
        <item x="483"/>
        <item x="293"/>
        <item x="27"/>
        <item x="346"/>
        <item x="110"/>
        <item x="505"/>
        <item x="462"/>
        <item x="291"/>
        <item x="8"/>
        <item x="216"/>
        <item x="105"/>
        <item x="415"/>
        <item x="370"/>
        <item x="51"/>
        <item x="108"/>
        <item x="365"/>
        <item x="355"/>
        <item x="456"/>
        <item x="223"/>
        <item x="123"/>
        <item x="440"/>
        <item x="374"/>
        <item x="169"/>
        <item x="323"/>
        <item x="218"/>
        <item x="133"/>
        <item x="301"/>
        <item x="38"/>
        <item x="322"/>
        <item x="148"/>
        <item x="366"/>
        <item x="189"/>
        <item x="170"/>
        <item x="9"/>
        <item x="510"/>
        <item x="114"/>
        <item x="176"/>
        <item x="438"/>
        <item x="121"/>
        <item x="442"/>
        <item x="76"/>
        <item x="513"/>
        <item x="166"/>
        <item x="119"/>
        <item x="460"/>
        <item x="29"/>
        <item x="508"/>
        <item x="416"/>
        <item x="324"/>
        <item x="197"/>
        <item x="88"/>
        <item x="448"/>
        <item x="137"/>
        <item x="437"/>
        <item x="302"/>
        <item x="349"/>
        <item x="245"/>
        <item x="285"/>
        <item t="default"/>
      </items>
    </pivotField>
    <pivotField showAll="0"/>
    <pivotField showAll="0"/>
    <pivotField showAll="0"/>
    <pivotField axis="axisRow" showAll="0">
      <items count="25">
        <item h="1" x="18"/>
        <item h="1" x="5"/>
        <item h="1" x="3"/>
        <item h="1" x="15"/>
        <item h="1" x="9"/>
        <item x="23"/>
        <item x="8"/>
        <item h="1" x="13"/>
        <item h="1" x="7"/>
        <item x="22"/>
        <item h="1" x="21"/>
        <item h="1" x="1"/>
        <item h="1" x="11"/>
        <item h="1" x="14"/>
        <item h="1" x="10"/>
        <item h="1" x="4"/>
        <item h="1" x="20"/>
        <item h="1" x="12"/>
        <item h="1" x="16"/>
        <item x="17"/>
        <item x="19"/>
        <item h="1" x="6"/>
        <item h="1" x="0"/>
        <item h="1" x="2"/>
        <item t="default"/>
      </items>
    </pivotField>
    <pivotField showAll="0">
      <items count="7">
        <item x="5"/>
        <item x="1"/>
        <item x="4"/>
        <item x="2"/>
        <item x="3"/>
        <item x="0"/>
        <item t="default"/>
      </items>
    </pivotField>
    <pivotField showAll="0"/>
    <pivotField showAll="0"/>
    <pivotField dataField="1"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6">
    <i>
      <x v="5"/>
    </i>
    <i>
      <x v="6"/>
    </i>
    <i>
      <x v="9"/>
    </i>
    <i>
      <x v="19"/>
    </i>
    <i>
      <x v="20"/>
    </i>
    <i t="grand">
      <x/>
    </i>
  </rowItems>
  <colFields count="1">
    <field x="-2"/>
  </colFields>
  <colItems count="2">
    <i>
      <x/>
    </i>
    <i i="1">
      <x v="1"/>
    </i>
  </colItems>
  <dataFields count="2">
    <dataField name="Sum of Total Sales" fld="9" baseField="0" baseItem="0"/>
    <dataField name="Sum of Profit" fld="11" baseField="0" baseItem="0"/>
  </dataFields>
  <chartFormats count="10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0"/>
          </reference>
        </references>
      </pivotArea>
    </chartFormat>
    <chartFormat chart="7" format="4">
      <pivotArea type="data" outline="0" fieldPosition="0">
        <references count="2">
          <reference field="4294967294" count="1" selected="0">
            <x v="0"/>
          </reference>
          <reference field="5" count="1" selected="0">
            <x v="1"/>
          </reference>
        </references>
      </pivotArea>
    </chartFormat>
    <chartFormat chart="7" format="5">
      <pivotArea type="data" outline="0" fieldPosition="0">
        <references count="2">
          <reference field="4294967294" count="1" selected="0">
            <x v="0"/>
          </reference>
          <reference field="5" count="1" selected="0">
            <x v="2"/>
          </reference>
        </references>
      </pivotArea>
    </chartFormat>
    <chartFormat chart="7" format="6">
      <pivotArea type="data" outline="0" fieldPosition="0">
        <references count="2">
          <reference field="4294967294" count="1" selected="0">
            <x v="0"/>
          </reference>
          <reference field="5" count="1" selected="0">
            <x v="3"/>
          </reference>
        </references>
      </pivotArea>
    </chartFormat>
    <chartFormat chart="7" format="7">
      <pivotArea type="data" outline="0" fieldPosition="0">
        <references count="2">
          <reference field="4294967294" count="1" selected="0">
            <x v="0"/>
          </reference>
          <reference field="5" count="1" selected="0">
            <x v="4"/>
          </reference>
        </references>
      </pivotArea>
    </chartFormat>
    <chartFormat chart="7" format="8">
      <pivotArea type="data" outline="0" fieldPosition="0">
        <references count="2">
          <reference field="4294967294" count="1" selected="0">
            <x v="0"/>
          </reference>
          <reference field="5" count="1" selected="0">
            <x v="5"/>
          </reference>
        </references>
      </pivotArea>
    </chartFormat>
    <chartFormat chart="7" format="9">
      <pivotArea type="data" outline="0" fieldPosition="0">
        <references count="2">
          <reference field="4294967294" count="1" selected="0">
            <x v="0"/>
          </reference>
          <reference field="5" count="1" selected="0">
            <x v="6"/>
          </reference>
        </references>
      </pivotArea>
    </chartFormat>
    <chartFormat chart="7" format="10">
      <pivotArea type="data" outline="0" fieldPosition="0">
        <references count="2">
          <reference field="4294967294" count="1" selected="0">
            <x v="0"/>
          </reference>
          <reference field="5" count="1" selected="0">
            <x v="7"/>
          </reference>
        </references>
      </pivotArea>
    </chartFormat>
    <chartFormat chart="7" format="11">
      <pivotArea type="data" outline="0" fieldPosition="0">
        <references count="2">
          <reference field="4294967294" count="1" selected="0">
            <x v="0"/>
          </reference>
          <reference field="5" count="1" selected="0">
            <x v="8"/>
          </reference>
        </references>
      </pivotArea>
    </chartFormat>
    <chartFormat chart="7" format="12">
      <pivotArea type="data" outline="0" fieldPosition="0">
        <references count="2">
          <reference field="4294967294" count="1" selected="0">
            <x v="0"/>
          </reference>
          <reference field="5" count="1" selected="0">
            <x v="9"/>
          </reference>
        </references>
      </pivotArea>
    </chartFormat>
    <chartFormat chart="7" format="13">
      <pivotArea type="data" outline="0" fieldPosition="0">
        <references count="2">
          <reference field="4294967294" count="1" selected="0">
            <x v="0"/>
          </reference>
          <reference field="5" count="1" selected="0">
            <x v="10"/>
          </reference>
        </references>
      </pivotArea>
    </chartFormat>
    <chartFormat chart="7" format="14">
      <pivotArea type="data" outline="0" fieldPosition="0">
        <references count="2">
          <reference field="4294967294" count="1" selected="0">
            <x v="0"/>
          </reference>
          <reference field="5" count="1" selected="0">
            <x v="11"/>
          </reference>
        </references>
      </pivotArea>
    </chartFormat>
    <chartFormat chart="7" format="15">
      <pivotArea type="data" outline="0" fieldPosition="0">
        <references count="2">
          <reference field="4294967294" count="1" selected="0">
            <x v="0"/>
          </reference>
          <reference field="5" count="1" selected="0">
            <x v="12"/>
          </reference>
        </references>
      </pivotArea>
    </chartFormat>
    <chartFormat chart="7" format="16">
      <pivotArea type="data" outline="0" fieldPosition="0">
        <references count="2">
          <reference field="4294967294" count="1" selected="0">
            <x v="0"/>
          </reference>
          <reference field="5" count="1" selected="0">
            <x v="13"/>
          </reference>
        </references>
      </pivotArea>
    </chartFormat>
    <chartFormat chart="7" format="17">
      <pivotArea type="data" outline="0" fieldPosition="0">
        <references count="2">
          <reference field="4294967294" count="1" selected="0">
            <x v="0"/>
          </reference>
          <reference field="5" count="1" selected="0">
            <x v="14"/>
          </reference>
        </references>
      </pivotArea>
    </chartFormat>
    <chartFormat chart="7" format="18">
      <pivotArea type="data" outline="0" fieldPosition="0">
        <references count="2">
          <reference field="4294967294" count="1" selected="0">
            <x v="0"/>
          </reference>
          <reference field="5" count="1" selected="0">
            <x v="15"/>
          </reference>
        </references>
      </pivotArea>
    </chartFormat>
    <chartFormat chart="7" format="19">
      <pivotArea type="data" outline="0" fieldPosition="0">
        <references count="2">
          <reference field="4294967294" count="1" selected="0">
            <x v="0"/>
          </reference>
          <reference field="5" count="1" selected="0">
            <x v="16"/>
          </reference>
        </references>
      </pivotArea>
    </chartFormat>
    <chartFormat chart="7" format="20">
      <pivotArea type="data" outline="0" fieldPosition="0">
        <references count="2">
          <reference field="4294967294" count="1" selected="0">
            <x v="0"/>
          </reference>
          <reference field="5" count="1" selected="0">
            <x v="17"/>
          </reference>
        </references>
      </pivotArea>
    </chartFormat>
    <chartFormat chart="7" format="21">
      <pivotArea type="data" outline="0" fieldPosition="0">
        <references count="2">
          <reference field="4294967294" count="1" selected="0">
            <x v="0"/>
          </reference>
          <reference field="5" count="1" selected="0">
            <x v="18"/>
          </reference>
        </references>
      </pivotArea>
    </chartFormat>
    <chartFormat chart="7" format="22">
      <pivotArea type="data" outline="0" fieldPosition="0">
        <references count="2">
          <reference field="4294967294" count="1" selected="0">
            <x v="0"/>
          </reference>
          <reference field="5" count="1" selected="0">
            <x v="19"/>
          </reference>
        </references>
      </pivotArea>
    </chartFormat>
    <chartFormat chart="7" format="23">
      <pivotArea type="data" outline="0" fieldPosition="0">
        <references count="2">
          <reference field="4294967294" count="1" selected="0">
            <x v="0"/>
          </reference>
          <reference field="5" count="1" selected="0">
            <x v="20"/>
          </reference>
        </references>
      </pivotArea>
    </chartFormat>
    <chartFormat chart="7" format="24">
      <pivotArea type="data" outline="0" fieldPosition="0">
        <references count="2">
          <reference field="4294967294" count="1" selected="0">
            <x v="0"/>
          </reference>
          <reference field="5" count="1" selected="0">
            <x v="21"/>
          </reference>
        </references>
      </pivotArea>
    </chartFormat>
    <chartFormat chart="7" format="25">
      <pivotArea type="data" outline="0" fieldPosition="0">
        <references count="2">
          <reference field="4294967294" count="1" selected="0">
            <x v="0"/>
          </reference>
          <reference field="5" count="1" selected="0">
            <x v="22"/>
          </reference>
        </references>
      </pivotArea>
    </chartFormat>
    <chartFormat chart="7" format="26">
      <pivotArea type="data" outline="0" fieldPosition="0">
        <references count="2">
          <reference field="4294967294" count="1" selected="0">
            <x v="0"/>
          </reference>
          <reference field="5" count="1" selected="0">
            <x v="23"/>
          </reference>
        </references>
      </pivotArea>
    </chartFormat>
    <chartFormat chart="7" format="27" series="1">
      <pivotArea type="data" outline="0" fieldPosition="0">
        <references count="1">
          <reference field="4294967294" count="1" selected="0">
            <x v="1"/>
          </reference>
        </references>
      </pivotArea>
    </chartFormat>
    <chartFormat chart="7" format="28">
      <pivotArea type="data" outline="0" fieldPosition="0">
        <references count="2">
          <reference field="4294967294" count="1" selected="0">
            <x v="1"/>
          </reference>
          <reference field="5" count="1" selected="0">
            <x v="0"/>
          </reference>
        </references>
      </pivotArea>
    </chartFormat>
    <chartFormat chart="7" format="29">
      <pivotArea type="data" outline="0" fieldPosition="0">
        <references count="2">
          <reference field="4294967294" count="1" selected="0">
            <x v="1"/>
          </reference>
          <reference field="5" count="1" selected="0">
            <x v="1"/>
          </reference>
        </references>
      </pivotArea>
    </chartFormat>
    <chartFormat chart="7" format="30">
      <pivotArea type="data" outline="0" fieldPosition="0">
        <references count="2">
          <reference field="4294967294" count="1" selected="0">
            <x v="1"/>
          </reference>
          <reference field="5" count="1" selected="0">
            <x v="2"/>
          </reference>
        </references>
      </pivotArea>
    </chartFormat>
    <chartFormat chart="7" format="31">
      <pivotArea type="data" outline="0" fieldPosition="0">
        <references count="2">
          <reference field="4294967294" count="1" selected="0">
            <x v="1"/>
          </reference>
          <reference field="5" count="1" selected="0">
            <x v="3"/>
          </reference>
        </references>
      </pivotArea>
    </chartFormat>
    <chartFormat chart="7" format="32">
      <pivotArea type="data" outline="0" fieldPosition="0">
        <references count="2">
          <reference field="4294967294" count="1" selected="0">
            <x v="1"/>
          </reference>
          <reference field="5" count="1" selected="0">
            <x v="4"/>
          </reference>
        </references>
      </pivotArea>
    </chartFormat>
    <chartFormat chart="7" format="33">
      <pivotArea type="data" outline="0" fieldPosition="0">
        <references count="2">
          <reference field="4294967294" count="1" selected="0">
            <x v="1"/>
          </reference>
          <reference field="5" count="1" selected="0">
            <x v="5"/>
          </reference>
        </references>
      </pivotArea>
    </chartFormat>
    <chartFormat chart="7" format="34">
      <pivotArea type="data" outline="0" fieldPosition="0">
        <references count="2">
          <reference field="4294967294" count="1" selected="0">
            <x v="1"/>
          </reference>
          <reference field="5" count="1" selected="0">
            <x v="6"/>
          </reference>
        </references>
      </pivotArea>
    </chartFormat>
    <chartFormat chart="7" format="35">
      <pivotArea type="data" outline="0" fieldPosition="0">
        <references count="2">
          <reference field="4294967294" count="1" selected="0">
            <x v="1"/>
          </reference>
          <reference field="5" count="1" selected="0">
            <x v="7"/>
          </reference>
        </references>
      </pivotArea>
    </chartFormat>
    <chartFormat chart="7" format="36">
      <pivotArea type="data" outline="0" fieldPosition="0">
        <references count="2">
          <reference field="4294967294" count="1" selected="0">
            <x v="1"/>
          </reference>
          <reference field="5" count="1" selected="0">
            <x v="8"/>
          </reference>
        </references>
      </pivotArea>
    </chartFormat>
    <chartFormat chart="7" format="37">
      <pivotArea type="data" outline="0" fieldPosition="0">
        <references count="2">
          <reference field="4294967294" count="1" selected="0">
            <x v="1"/>
          </reference>
          <reference field="5" count="1" selected="0">
            <x v="9"/>
          </reference>
        </references>
      </pivotArea>
    </chartFormat>
    <chartFormat chart="7" format="38">
      <pivotArea type="data" outline="0" fieldPosition="0">
        <references count="2">
          <reference field="4294967294" count="1" selected="0">
            <x v="1"/>
          </reference>
          <reference field="5" count="1" selected="0">
            <x v="10"/>
          </reference>
        </references>
      </pivotArea>
    </chartFormat>
    <chartFormat chart="7" format="39">
      <pivotArea type="data" outline="0" fieldPosition="0">
        <references count="2">
          <reference field="4294967294" count="1" selected="0">
            <x v="1"/>
          </reference>
          <reference field="5" count="1" selected="0">
            <x v="11"/>
          </reference>
        </references>
      </pivotArea>
    </chartFormat>
    <chartFormat chart="7" format="40">
      <pivotArea type="data" outline="0" fieldPosition="0">
        <references count="2">
          <reference field="4294967294" count="1" selected="0">
            <x v="1"/>
          </reference>
          <reference field="5" count="1" selected="0">
            <x v="12"/>
          </reference>
        </references>
      </pivotArea>
    </chartFormat>
    <chartFormat chart="7" format="41">
      <pivotArea type="data" outline="0" fieldPosition="0">
        <references count="2">
          <reference field="4294967294" count="1" selected="0">
            <x v="1"/>
          </reference>
          <reference field="5" count="1" selected="0">
            <x v="13"/>
          </reference>
        </references>
      </pivotArea>
    </chartFormat>
    <chartFormat chart="7" format="42">
      <pivotArea type="data" outline="0" fieldPosition="0">
        <references count="2">
          <reference field="4294967294" count="1" selected="0">
            <x v="1"/>
          </reference>
          <reference field="5" count="1" selected="0">
            <x v="14"/>
          </reference>
        </references>
      </pivotArea>
    </chartFormat>
    <chartFormat chart="7" format="43">
      <pivotArea type="data" outline="0" fieldPosition="0">
        <references count="2">
          <reference field="4294967294" count="1" selected="0">
            <x v="1"/>
          </reference>
          <reference field="5" count="1" selected="0">
            <x v="15"/>
          </reference>
        </references>
      </pivotArea>
    </chartFormat>
    <chartFormat chart="7" format="44">
      <pivotArea type="data" outline="0" fieldPosition="0">
        <references count="2">
          <reference field="4294967294" count="1" selected="0">
            <x v="1"/>
          </reference>
          <reference field="5" count="1" selected="0">
            <x v="16"/>
          </reference>
        </references>
      </pivotArea>
    </chartFormat>
    <chartFormat chart="7" format="45">
      <pivotArea type="data" outline="0" fieldPosition="0">
        <references count="2">
          <reference field="4294967294" count="1" selected="0">
            <x v="1"/>
          </reference>
          <reference field="5" count="1" selected="0">
            <x v="17"/>
          </reference>
        </references>
      </pivotArea>
    </chartFormat>
    <chartFormat chart="7" format="46">
      <pivotArea type="data" outline="0" fieldPosition="0">
        <references count="2">
          <reference field="4294967294" count="1" selected="0">
            <x v="1"/>
          </reference>
          <reference field="5" count="1" selected="0">
            <x v="18"/>
          </reference>
        </references>
      </pivotArea>
    </chartFormat>
    <chartFormat chart="7" format="47">
      <pivotArea type="data" outline="0" fieldPosition="0">
        <references count="2">
          <reference field="4294967294" count="1" selected="0">
            <x v="1"/>
          </reference>
          <reference field="5" count="1" selected="0">
            <x v="19"/>
          </reference>
        </references>
      </pivotArea>
    </chartFormat>
    <chartFormat chart="7" format="48">
      <pivotArea type="data" outline="0" fieldPosition="0">
        <references count="2">
          <reference field="4294967294" count="1" selected="0">
            <x v="1"/>
          </reference>
          <reference field="5" count="1" selected="0">
            <x v="20"/>
          </reference>
        </references>
      </pivotArea>
    </chartFormat>
    <chartFormat chart="7" format="49">
      <pivotArea type="data" outline="0" fieldPosition="0">
        <references count="2">
          <reference field="4294967294" count="1" selected="0">
            <x v="1"/>
          </reference>
          <reference field="5" count="1" selected="0">
            <x v="21"/>
          </reference>
        </references>
      </pivotArea>
    </chartFormat>
    <chartFormat chart="7" format="50">
      <pivotArea type="data" outline="0" fieldPosition="0">
        <references count="2">
          <reference field="4294967294" count="1" selected="0">
            <x v="1"/>
          </reference>
          <reference field="5" count="1" selected="0">
            <x v="22"/>
          </reference>
        </references>
      </pivotArea>
    </chartFormat>
    <chartFormat chart="7" format="51">
      <pivotArea type="data" outline="0" fieldPosition="0">
        <references count="2">
          <reference field="4294967294" count="1" selected="0">
            <x v="1"/>
          </reference>
          <reference field="5" count="1" selected="0">
            <x v="23"/>
          </reference>
        </references>
      </pivotArea>
    </chartFormat>
    <chartFormat chart="8" format="52" series="1">
      <pivotArea type="data" outline="0" fieldPosition="0">
        <references count="1">
          <reference field="4294967294" count="1" selected="0">
            <x v="0"/>
          </reference>
        </references>
      </pivotArea>
    </chartFormat>
    <chartFormat chart="8" format="53">
      <pivotArea type="data" outline="0" fieldPosition="0">
        <references count="2">
          <reference field="4294967294" count="1" selected="0">
            <x v="0"/>
          </reference>
          <reference field="5" count="1" selected="0">
            <x v="0"/>
          </reference>
        </references>
      </pivotArea>
    </chartFormat>
    <chartFormat chart="8" format="54">
      <pivotArea type="data" outline="0" fieldPosition="0">
        <references count="2">
          <reference field="4294967294" count="1" selected="0">
            <x v="0"/>
          </reference>
          <reference field="5" count="1" selected="0">
            <x v="1"/>
          </reference>
        </references>
      </pivotArea>
    </chartFormat>
    <chartFormat chart="8" format="55">
      <pivotArea type="data" outline="0" fieldPosition="0">
        <references count="2">
          <reference field="4294967294" count="1" selected="0">
            <x v="0"/>
          </reference>
          <reference field="5" count="1" selected="0">
            <x v="2"/>
          </reference>
        </references>
      </pivotArea>
    </chartFormat>
    <chartFormat chart="8" format="56">
      <pivotArea type="data" outline="0" fieldPosition="0">
        <references count="2">
          <reference field="4294967294" count="1" selected="0">
            <x v="0"/>
          </reference>
          <reference field="5" count="1" selected="0">
            <x v="3"/>
          </reference>
        </references>
      </pivotArea>
    </chartFormat>
    <chartFormat chart="8" format="57">
      <pivotArea type="data" outline="0" fieldPosition="0">
        <references count="2">
          <reference field="4294967294" count="1" selected="0">
            <x v="0"/>
          </reference>
          <reference field="5" count="1" selected="0">
            <x v="4"/>
          </reference>
        </references>
      </pivotArea>
    </chartFormat>
    <chartFormat chart="8" format="58">
      <pivotArea type="data" outline="0" fieldPosition="0">
        <references count="2">
          <reference field="4294967294" count="1" selected="0">
            <x v="0"/>
          </reference>
          <reference field="5" count="1" selected="0">
            <x v="5"/>
          </reference>
        </references>
      </pivotArea>
    </chartFormat>
    <chartFormat chart="8" format="59">
      <pivotArea type="data" outline="0" fieldPosition="0">
        <references count="2">
          <reference field="4294967294" count="1" selected="0">
            <x v="0"/>
          </reference>
          <reference field="5" count="1" selected="0">
            <x v="6"/>
          </reference>
        </references>
      </pivotArea>
    </chartFormat>
    <chartFormat chart="8" format="60">
      <pivotArea type="data" outline="0" fieldPosition="0">
        <references count="2">
          <reference field="4294967294" count="1" selected="0">
            <x v="0"/>
          </reference>
          <reference field="5" count="1" selected="0">
            <x v="7"/>
          </reference>
        </references>
      </pivotArea>
    </chartFormat>
    <chartFormat chart="8" format="61">
      <pivotArea type="data" outline="0" fieldPosition="0">
        <references count="2">
          <reference field="4294967294" count="1" selected="0">
            <x v="0"/>
          </reference>
          <reference field="5" count="1" selected="0">
            <x v="8"/>
          </reference>
        </references>
      </pivotArea>
    </chartFormat>
    <chartFormat chart="8" format="62">
      <pivotArea type="data" outline="0" fieldPosition="0">
        <references count="2">
          <reference field="4294967294" count="1" selected="0">
            <x v="0"/>
          </reference>
          <reference field="5" count="1" selected="0">
            <x v="9"/>
          </reference>
        </references>
      </pivotArea>
    </chartFormat>
    <chartFormat chart="8" format="63">
      <pivotArea type="data" outline="0" fieldPosition="0">
        <references count="2">
          <reference field="4294967294" count="1" selected="0">
            <x v="0"/>
          </reference>
          <reference field="5" count="1" selected="0">
            <x v="10"/>
          </reference>
        </references>
      </pivotArea>
    </chartFormat>
    <chartFormat chart="8" format="64">
      <pivotArea type="data" outline="0" fieldPosition="0">
        <references count="2">
          <reference field="4294967294" count="1" selected="0">
            <x v="0"/>
          </reference>
          <reference field="5" count="1" selected="0">
            <x v="11"/>
          </reference>
        </references>
      </pivotArea>
    </chartFormat>
    <chartFormat chart="8" format="65">
      <pivotArea type="data" outline="0" fieldPosition="0">
        <references count="2">
          <reference field="4294967294" count="1" selected="0">
            <x v="0"/>
          </reference>
          <reference field="5" count="1" selected="0">
            <x v="12"/>
          </reference>
        </references>
      </pivotArea>
    </chartFormat>
    <chartFormat chart="8" format="66">
      <pivotArea type="data" outline="0" fieldPosition="0">
        <references count="2">
          <reference field="4294967294" count="1" selected="0">
            <x v="0"/>
          </reference>
          <reference field="5" count="1" selected="0">
            <x v="13"/>
          </reference>
        </references>
      </pivotArea>
    </chartFormat>
    <chartFormat chart="8" format="67">
      <pivotArea type="data" outline="0" fieldPosition="0">
        <references count="2">
          <reference field="4294967294" count="1" selected="0">
            <x v="0"/>
          </reference>
          <reference field="5" count="1" selected="0">
            <x v="14"/>
          </reference>
        </references>
      </pivotArea>
    </chartFormat>
    <chartFormat chart="8" format="68">
      <pivotArea type="data" outline="0" fieldPosition="0">
        <references count="2">
          <reference field="4294967294" count="1" selected="0">
            <x v="0"/>
          </reference>
          <reference field="5" count="1" selected="0">
            <x v="15"/>
          </reference>
        </references>
      </pivotArea>
    </chartFormat>
    <chartFormat chart="8" format="69">
      <pivotArea type="data" outline="0" fieldPosition="0">
        <references count="2">
          <reference field="4294967294" count="1" selected="0">
            <x v="0"/>
          </reference>
          <reference field="5" count="1" selected="0">
            <x v="16"/>
          </reference>
        </references>
      </pivotArea>
    </chartFormat>
    <chartFormat chart="8" format="70">
      <pivotArea type="data" outline="0" fieldPosition="0">
        <references count="2">
          <reference field="4294967294" count="1" selected="0">
            <x v="0"/>
          </reference>
          <reference field="5" count="1" selected="0">
            <x v="17"/>
          </reference>
        </references>
      </pivotArea>
    </chartFormat>
    <chartFormat chart="8" format="71">
      <pivotArea type="data" outline="0" fieldPosition="0">
        <references count="2">
          <reference field="4294967294" count="1" selected="0">
            <x v="0"/>
          </reference>
          <reference field="5" count="1" selected="0">
            <x v="18"/>
          </reference>
        </references>
      </pivotArea>
    </chartFormat>
    <chartFormat chart="8" format="72">
      <pivotArea type="data" outline="0" fieldPosition="0">
        <references count="2">
          <reference field="4294967294" count="1" selected="0">
            <x v="0"/>
          </reference>
          <reference field="5" count="1" selected="0">
            <x v="19"/>
          </reference>
        </references>
      </pivotArea>
    </chartFormat>
    <chartFormat chart="8" format="73">
      <pivotArea type="data" outline="0" fieldPosition="0">
        <references count="2">
          <reference field="4294967294" count="1" selected="0">
            <x v="0"/>
          </reference>
          <reference field="5" count="1" selected="0">
            <x v="20"/>
          </reference>
        </references>
      </pivotArea>
    </chartFormat>
    <chartFormat chart="8" format="74">
      <pivotArea type="data" outline="0" fieldPosition="0">
        <references count="2">
          <reference field="4294967294" count="1" selected="0">
            <x v="0"/>
          </reference>
          <reference field="5" count="1" selected="0">
            <x v="21"/>
          </reference>
        </references>
      </pivotArea>
    </chartFormat>
    <chartFormat chart="8" format="75">
      <pivotArea type="data" outline="0" fieldPosition="0">
        <references count="2">
          <reference field="4294967294" count="1" selected="0">
            <x v="0"/>
          </reference>
          <reference field="5" count="1" selected="0">
            <x v="22"/>
          </reference>
        </references>
      </pivotArea>
    </chartFormat>
    <chartFormat chart="8" format="76">
      <pivotArea type="data" outline="0" fieldPosition="0">
        <references count="2">
          <reference field="4294967294" count="1" selected="0">
            <x v="0"/>
          </reference>
          <reference field="5" count="1" selected="0">
            <x v="23"/>
          </reference>
        </references>
      </pivotArea>
    </chartFormat>
    <chartFormat chart="8" format="77" series="1">
      <pivotArea type="data" outline="0" fieldPosition="0">
        <references count="1">
          <reference field="4294967294" count="1" selected="0">
            <x v="1"/>
          </reference>
        </references>
      </pivotArea>
    </chartFormat>
    <chartFormat chart="8" format="78">
      <pivotArea type="data" outline="0" fieldPosition="0">
        <references count="2">
          <reference field="4294967294" count="1" selected="0">
            <x v="1"/>
          </reference>
          <reference field="5" count="1" selected="0">
            <x v="0"/>
          </reference>
        </references>
      </pivotArea>
    </chartFormat>
    <chartFormat chart="8" format="79">
      <pivotArea type="data" outline="0" fieldPosition="0">
        <references count="2">
          <reference field="4294967294" count="1" selected="0">
            <x v="1"/>
          </reference>
          <reference field="5" count="1" selected="0">
            <x v="1"/>
          </reference>
        </references>
      </pivotArea>
    </chartFormat>
    <chartFormat chart="8" format="80">
      <pivotArea type="data" outline="0" fieldPosition="0">
        <references count="2">
          <reference field="4294967294" count="1" selected="0">
            <x v="1"/>
          </reference>
          <reference field="5" count="1" selected="0">
            <x v="2"/>
          </reference>
        </references>
      </pivotArea>
    </chartFormat>
    <chartFormat chart="8" format="81">
      <pivotArea type="data" outline="0" fieldPosition="0">
        <references count="2">
          <reference field="4294967294" count="1" selected="0">
            <x v="1"/>
          </reference>
          <reference field="5" count="1" selected="0">
            <x v="3"/>
          </reference>
        </references>
      </pivotArea>
    </chartFormat>
    <chartFormat chart="8" format="82">
      <pivotArea type="data" outline="0" fieldPosition="0">
        <references count="2">
          <reference field="4294967294" count="1" selected="0">
            <x v="1"/>
          </reference>
          <reference field="5" count="1" selected="0">
            <x v="4"/>
          </reference>
        </references>
      </pivotArea>
    </chartFormat>
    <chartFormat chart="8" format="83">
      <pivotArea type="data" outline="0" fieldPosition="0">
        <references count="2">
          <reference field="4294967294" count="1" selected="0">
            <x v="1"/>
          </reference>
          <reference field="5" count="1" selected="0">
            <x v="5"/>
          </reference>
        </references>
      </pivotArea>
    </chartFormat>
    <chartFormat chart="8" format="84">
      <pivotArea type="data" outline="0" fieldPosition="0">
        <references count="2">
          <reference field="4294967294" count="1" selected="0">
            <x v="1"/>
          </reference>
          <reference field="5" count="1" selected="0">
            <x v="6"/>
          </reference>
        </references>
      </pivotArea>
    </chartFormat>
    <chartFormat chart="8" format="85">
      <pivotArea type="data" outline="0" fieldPosition="0">
        <references count="2">
          <reference field="4294967294" count="1" selected="0">
            <x v="1"/>
          </reference>
          <reference field="5" count="1" selected="0">
            <x v="7"/>
          </reference>
        </references>
      </pivotArea>
    </chartFormat>
    <chartFormat chart="8" format="86">
      <pivotArea type="data" outline="0" fieldPosition="0">
        <references count="2">
          <reference field="4294967294" count="1" selected="0">
            <x v="1"/>
          </reference>
          <reference field="5" count="1" selected="0">
            <x v="8"/>
          </reference>
        </references>
      </pivotArea>
    </chartFormat>
    <chartFormat chart="8" format="87">
      <pivotArea type="data" outline="0" fieldPosition="0">
        <references count="2">
          <reference field="4294967294" count="1" selected="0">
            <x v="1"/>
          </reference>
          <reference field="5" count="1" selected="0">
            <x v="9"/>
          </reference>
        </references>
      </pivotArea>
    </chartFormat>
    <chartFormat chart="8" format="88">
      <pivotArea type="data" outline="0" fieldPosition="0">
        <references count="2">
          <reference field="4294967294" count="1" selected="0">
            <x v="1"/>
          </reference>
          <reference field="5" count="1" selected="0">
            <x v="10"/>
          </reference>
        </references>
      </pivotArea>
    </chartFormat>
    <chartFormat chart="8" format="89">
      <pivotArea type="data" outline="0" fieldPosition="0">
        <references count="2">
          <reference field="4294967294" count="1" selected="0">
            <x v="1"/>
          </reference>
          <reference field="5" count="1" selected="0">
            <x v="11"/>
          </reference>
        </references>
      </pivotArea>
    </chartFormat>
    <chartFormat chart="8" format="90">
      <pivotArea type="data" outline="0" fieldPosition="0">
        <references count="2">
          <reference field="4294967294" count="1" selected="0">
            <x v="1"/>
          </reference>
          <reference field="5" count="1" selected="0">
            <x v="12"/>
          </reference>
        </references>
      </pivotArea>
    </chartFormat>
    <chartFormat chart="8" format="91">
      <pivotArea type="data" outline="0" fieldPosition="0">
        <references count="2">
          <reference field="4294967294" count="1" selected="0">
            <x v="1"/>
          </reference>
          <reference field="5" count="1" selected="0">
            <x v="13"/>
          </reference>
        </references>
      </pivotArea>
    </chartFormat>
    <chartFormat chart="8" format="92">
      <pivotArea type="data" outline="0" fieldPosition="0">
        <references count="2">
          <reference field="4294967294" count="1" selected="0">
            <x v="1"/>
          </reference>
          <reference field="5" count="1" selected="0">
            <x v="14"/>
          </reference>
        </references>
      </pivotArea>
    </chartFormat>
    <chartFormat chart="8" format="93">
      <pivotArea type="data" outline="0" fieldPosition="0">
        <references count="2">
          <reference field="4294967294" count="1" selected="0">
            <x v="1"/>
          </reference>
          <reference field="5" count="1" selected="0">
            <x v="15"/>
          </reference>
        </references>
      </pivotArea>
    </chartFormat>
    <chartFormat chart="8" format="94">
      <pivotArea type="data" outline="0" fieldPosition="0">
        <references count="2">
          <reference field="4294967294" count="1" selected="0">
            <x v="1"/>
          </reference>
          <reference field="5" count="1" selected="0">
            <x v="16"/>
          </reference>
        </references>
      </pivotArea>
    </chartFormat>
    <chartFormat chart="8" format="95">
      <pivotArea type="data" outline="0" fieldPosition="0">
        <references count="2">
          <reference field="4294967294" count="1" selected="0">
            <x v="1"/>
          </reference>
          <reference field="5" count="1" selected="0">
            <x v="17"/>
          </reference>
        </references>
      </pivotArea>
    </chartFormat>
    <chartFormat chart="8" format="96">
      <pivotArea type="data" outline="0" fieldPosition="0">
        <references count="2">
          <reference field="4294967294" count="1" selected="0">
            <x v="1"/>
          </reference>
          <reference field="5" count="1" selected="0">
            <x v="18"/>
          </reference>
        </references>
      </pivotArea>
    </chartFormat>
    <chartFormat chart="8" format="97">
      <pivotArea type="data" outline="0" fieldPosition="0">
        <references count="2">
          <reference field="4294967294" count="1" selected="0">
            <x v="1"/>
          </reference>
          <reference field="5" count="1" selected="0">
            <x v="19"/>
          </reference>
        </references>
      </pivotArea>
    </chartFormat>
    <chartFormat chart="8" format="98">
      <pivotArea type="data" outline="0" fieldPosition="0">
        <references count="2">
          <reference field="4294967294" count="1" selected="0">
            <x v="1"/>
          </reference>
          <reference field="5" count="1" selected="0">
            <x v="20"/>
          </reference>
        </references>
      </pivotArea>
    </chartFormat>
    <chartFormat chart="8" format="99">
      <pivotArea type="data" outline="0" fieldPosition="0">
        <references count="2">
          <reference field="4294967294" count="1" selected="0">
            <x v="1"/>
          </reference>
          <reference field="5" count="1" selected="0">
            <x v="21"/>
          </reference>
        </references>
      </pivotArea>
    </chartFormat>
    <chartFormat chart="8" format="100">
      <pivotArea type="data" outline="0" fieldPosition="0">
        <references count="2">
          <reference field="4294967294" count="1" selected="0">
            <x v="1"/>
          </reference>
          <reference field="5" count="1" selected="0">
            <x v="22"/>
          </reference>
        </references>
      </pivotArea>
    </chartFormat>
    <chartFormat chart="8" format="101">
      <pivotArea type="data" outline="0" fieldPosition="0">
        <references count="2">
          <reference field="4294967294" count="1" selected="0">
            <x v="1"/>
          </reference>
          <reference field="5" count="1" selected="0">
            <x v="23"/>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8E9263-6E37-4ACB-945D-70EDF741E41A}" name="PivotTable4"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1">
  <location ref="A2:B13" firstHeaderRow="1" firstDataRow="1" firstDataCol="1"/>
  <pivotFields count="17">
    <pivotField showAll="0"/>
    <pivotField numFmtId="164" showAll="0">
      <items count="516">
        <item x="282"/>
        <item x="388"/>
        <item x="402"/>
        <item x="77"/>
        <item x="453"/>
        <item x="235"/>
        <item x="71"/>
        <item x="363"/>
        <item x="461"/>
        <item x="53"/>
        <item x="299"/>
        <item x="287"/>
        <item x="509"/>
        <item x="464"/>
        <item x="278"/>
        <item x="332"/>
        <item x="209"/>
        <item x="103"/>
        <item x="128"/>
        <item x="146"/>
        <item x="272"/>
        <item x="22"/>
        <item x="232"/>
        <item x="21"/>
        <item x="321"/>
        <item x="295"/>
        <item x="433"/>
        <item x="55"/>
        <item x="132"/>
        <item x="424"/>
        <item x="304"/>
        <item x="192"/>
        <item x="391"/>
        <item x="104"/>
        <item x="371"/>
        <item x="237"/>
        <item x="253"/>
        <item x="241"/>
        <item x="503"/>
        <item x="11"/>
        <item x="339"/>
        <item x="158"/>
        <item x="7"/>
        <item x="0"/>
        <item x="443"/>
        <item x="308"/>
        <item x="380"/>
        <item x="10"/>
        <item x="439"/>
        <item x="264"/>
        <item x="94"/>
        <item x="229"/>
        <item x="72"/>
        <item x="452"/>
        <item x="233"/>
        <item x="268"/>
        <item x="340"/>
        <item x="511"/>
        <item x="382"/>
        <item x="258"/>
        <item x="30"/>
        <item x="491"/>
        <item x="210"/>
        <item x="399"/>
        <item x="66"/>
        <item x="101"/>
        <item x="82"/>
        <item x="23"/>
        <item x="496"/>
        <item x="122"/>
        <item x="142"/>
        <item x="214"/>
        <item x="157"/>
        <item x="186"/>
        <item x="351"/>
        <item x="20"/>
        <item x="485"/>
        <item x="97"/>
        <item x="61"/>
        <item x="409"/>
        <item x="259"/>
        <item x="514"/>
        <item x="507"/>
        <item x="116"/>
        <item x="383"/>
        <item x="150"/>
        <item x="330"/>
        <item x="73"/>
        <item x="217"/>
        <item x="211"/>
        <item x="403"/>
        <item x="118"/>
        <item x="96"/>
        <item x="490"/>
        <item x="395"/>
        <item x="430"/>
        <item x="247"/>
        <item x="260"/>
        <item x="178"/>
        <item x="422"/>
        <item x="498"/>
        <item x="154"/>
        <item x="420"/>
        <item x="480"/>
        <item x="111"/>
        <item x="300"/>
        <item x="57"/>
        <item x="446"/>
        <item x="62"/>
        <item x="60"/>
        <item x="100"/>
        <item x="314"/>
        <item x="319"/>
        <item x="468"/>
        <item x="481"/>
        <item x="316"/>
        <item x="357"/>
        <item x="84"/>
        <item x="161"/>
        <item x="405"/>
        <item x="261"/>
        <item x="311"/>
        <item x="234"/>
        <item x="168"/>
        <item x="398"/>
        <item x="193"/>
        <item x="93"/>
        <item x="106"/>
        <item x="494"/>
        <item x="379"/>
        <item x="164"/>
        <item x="400"/>
        <item x="335"/>
        <item x="454"/>
        <item x="317"/>
        <item x="469"/>
        <item x="152"/>
        <item x="249"/>
        <item x="115"/>
        <item x="79"/>
        <item x="327"/>
        <item x="385"/>
        <item x="372"/>
        <item x="184"/>
        <item x="1"/>
        <item x="376"/>
        <item x="68"/>
        <item x="248"/>
        <item x="95"/>
        <item x="102"/>
        <item x="44"/>
        <item x="354"/>
        <item x="5"/>
        <item x="239"/>
        <item x="179"/>
        <item x="90"/>
        <item x="140"/>
        <item x="401"/>
        <item x="445"/>
        <item x="33"/>
        <item x="359"/>
        <item x="329"/>
        <item x="182"/>
        <item x="364"/>
        <item x="289"/>
        <item x="486"/>
        <item x="426"/>
        <item x="45"/>
        <item x="286"/>
        <item x="14"/>
        <item x="153"/>
        <item x="156"/>
        <item x="276"/>
        <item x="387"/>
        <item x="230"/>
        <item x="296"/>
        <item x="113"/>
        <item x="174"/>
        <item x="367"/>
        <item x="427"/>
        <item x="147"/>
        <item x="205"/>
        <item x="269"/>
        <item x="488"/>
        <item x="489"/>
        <item x="478"/>
        <item x="125"/>
        <item x="207"/>
        <item x="281"/>
        <item x="43"/>
        <item x="63"/>
        <item x="466"/>
        <item x="428"/>
        <item x="413"/>
        <item x="99"/>
        <item x="109"/>
        <item x="342"/>
        <item x="410"/>
        <item x="449"/>
        <item x="412"/>
        <item x="279"/>
        <item x="199"/>
        <item x="280"/>
        <item x="266"/>
        <item x="141"/>
        <item x="459"/>
        <item x="78"/>
        <item x="208"/>
        <item x="434"/>
        <item x="504"/>
        <item x="368"/>
        <item x="58"/>
        <item x="271"/>
        <item x="501"/>
        <item x="13"/>
        <item x="251"/>
        <item x="360"/>
        <item x="173"/>
        <item x="215"/>
        <item x="213"/>
        <item x="263"/>
        <item x="187"/>
        <item x="479"/>
        <item x="475"/>
        <item x="162"/>
        <item x="267"/>
        <item x="225"/>
        <item x="305"/>
        <item x="139"/>
        <item x="98"/>
        <item x="338"/>
        <item x="226"/>
        <item x="206"/>
        <item x="290"/>
        <item x="441"/>
        <item x="476"/>
        <item x="408"/>
        <item x="361"/>
        <item x="134"/>
        <item x="243"/>
        <item x="143"/>
        <item x="107"/>
        <item x="240"/>
        <item x="473"/>
        <item x="497"/>
        <item x="431"/>
        <item x="40"/>
        <item x="411"/>
        <item x="26"/>
        <item x="463"/>
        <item x="175"/>
        <item x="343"/>
        <item x="328"/>
        <item x="6"/>
        <item x="46"/>
        <item x="185"/>
        <item x="436"/>
        <item x="294"/>
        <item x="42"/>
        <item x="435"/>
        <item x="3"/>
        <item x="180"/>
        <item x="165"/>
        <item x="273"/>
        <item x="50"/>
        <item x="191"/>
        <item x="250"/>
        <item x="24"/>
        <item x="244"/>
        <item x="356"/>
        <item x="65"/>
        <item x="120"/>
        <item x="465"/>
        <item x="15"/>
        <item x="362"/>
        <item x="4"/>
        <item x="238"/>
        <item x="34"/>
        <item x="313"/>
        <item x="149"/>
        <item x="458"/>
        <item x="326"/>
        <item x="315"/>
        <item x="41"/>
        <item x="25"/>
        <item x="341"/>
        <item x="69"/>
        <item x="396"/>
        <item x="397"/>
        <item x="59"/>
        <item x="419"/>
        <item x="256"/>
        <item x="447"/>
        <item x="298"/>
        <item x="393"/>
        <item x="2"/>
        <item x="320"/>
        <item x="334"/>
        <item x="451"/>
        <item x="423"/>
        <item x="257"/>
        <item x="80"/>
        <item x="350"/>
        <item x="203"/>
        <item x="117"/>
        <item x="417"/>
        <item x="151"/>
        <item x="254"/>
        <item x="190"/>
        <item x="347"/>
        <item x="47"/>
        <item x="75"/>
        <item x="310"/>
        <item x="414"/>
        <item x="227"/>
        <item x="131"/>
        <item x="474"/>
        <item x="471"/>
        <item x="392"/>
        <item x="477"/>
        <item x="112"/>
        <item x="17"/>
        <item x="484"/>
        <item x="127"/>
        <item x="228"/>
        <item x="429"/>
        <item x="52"/>
        <item x="37"/>
        <item x="124"/>
        <item x="167"/>
        <item x="418"/>
        <item x="274"/>
        <item x="159"/>
        <item x="220"/>
        <item x="506"/>
        <item x="32"/>
        <item x="297"/>
        <item x="386"/>
        <item x="432"/>
        <item x="369"/>
        <item x="406"/>
        <item x="136"/>
        <item x="482"/>
        <item x="472"/>
        <item x="500"/>
        <item x="83"/>
        <item x="358"/>
        <item x="373"/>
        <item x="85"/>
        <item x="425"/>
        <item x="499"/>
        <item x="236"/>
        <item x="450"/>
        <item x="36"/>
        <item x="48"/>
        <item x="196"/>
        <item x="16"/>
        <item x="303"/>
        <item x="35"/>
        <item x="336"/>
        <item x="64"/>
        <item x="252"/>
        <item x="224"/>
        <item x="318"/>
        <item x="255"/>
        <item x="381"/>
        <item x="242"/>
        <item x="67"/>
        <item x="81"/>
        <item x="145"/>
        <item x="495"/>
        <item x="202"/>
        <item x="144"/>
        <item x="345"/>
        <item x="89"/>
        <item x="188"/>
        <item x="212"/>
        <item x="129"/>
        <item x="284"/>
        <item x="325"/>
        <item x="138"/>
        <item x="265"/>
        <item x="512"/>
        <item x="333"/>
        <item x="49"/>
        <item x="394"/>
        <item x="312"/>
        <item x="222"/>
        <item x="492"/>
        <item x="19"/>
        <item x="352"/>
        <item x="18"/>
        <item x="56"/>
        <item x="337"/>
        <item x="172"/>
        <item x="91"/>
        <item x="200"/>
        <item x="378"/>
        <item x="195"/>
        <item x="421"/>
        <item x="353"/>
        <item x="12"/>
        <item x="155"/>
        <item x="307"/>
        <item x="246"/>
        <item x="39"/>
        <item x="283"/>
        <item x="288"/>
        <item x="28"/>
        <item x="467"/>
        <item x="384"/>
        <item x="87"/>
        <item x="292"/>
        <item x="70"/>
        <item x="31"/>
        <item x="163"/>
        <item x="377"/>
        <item x="493"/>
        <item x="135"/>
        <item x="390"/>
        <item x="194"/>
        <item x="86"/>
        <item x="201"/>
        <item x="309"/>
        <item x="130"/>
        <item x="160"/>
        <item x="375"/>
        <item x="177"/>
        <item x="54"/>
        <item x="231"/>
        <item x="306"/>
        <item x="502"/>
        <item x="470"/>
        <item x="389"/>
        <item x="183"/>
        <item x="181"/>
        <item x="407"/>
        <item x="404"/>
        <item x="204"/>
        <item x="219"/>
        <item x="457"/>
        <item x="277"/>
        <item x="198"/>
        <item x="221"/>
        <item x="74"/>
        <item x="270"/>
        <item x="92"/>
        <item x="348"/>
        <item x="344"/>
        <item x="487"/>
        <item x="275"/>
        <item x="262"/>
        <item x="455"/>
        <item x="331"/>
        <item x="126"/>
        <item x="444"/>
        <item x="171"/>
        <item x="483"/>
        <item x="293"/>
        <item x="27"/>
        <item x="346"/>
        <item x="110"/>
        <item x="505"/>
        <item x="462"/>
        <item x="291"/>
        <item x="8"/>
        <item x="216"/>
        <item x="105"/>
        <item x="415"/>
        <item x="370"/>
        <item x="51"/>
        <item x="108"/>
        <item x="365"/>
        <item x="355"/>
        <item x="456"/>
        <item x="223"/>
        <item x="123"/>
        <item x="440"/>
        <item x="374"/>
        <item x="169"/>
        <item x="323"/>
        <item x="218"/>
        <item x="133"/>
        <item x="301"/>
        <item x="38"/>
        <item x="322"/>
        <item x="148"/>
        <item x="366"/>
        <item x="189"/>
        <item x="170"/>
        <item x="9"/>
        <item x="510"/>
        <item x="114"/>
        <item x="176"/>
        <item x="438"/>
        <item x="121"/>
        <item x="442"/>
        <item x="76"/>
        <item x="513"/>
        <item x="166"/>
        <item x="119"/>
        <item x="460"/>
        <item x="29"/>
        <item x="508"/>
        <item x="416"/>
        <item x="324"/>
        <item x="197"/>
        <item x="88"/>
        <item x="448"/>
        <item x="137"/>
        <item x="437"/>
        <item x="302"/>
        <item x="349"/>
        <item x="245"/>
        <item x="285"/>
        <item t="default"/>
      </items>
    </pivotField>
    <pivotField showAll="0"/>
    <pivotField axis="axisRow" showAll="0">
      <items count="11">
        <item x="4"/>
        <item x="3"/>
        <item x="6"/>
        <item x="5"/>
        <item x="7"/>
        <item x="9"/>
        <item x="0"/>
        <item x="1"/>
        <item x="2"/>
        <item x="8"/>
        <item t="default"/>
      </items>
    </pivotField>
    <pivotField showAll="0"/>
    <pivotField showAll="0">
      <items count="25">
        <item h="1" x="18"/>
        <item h="1" x="5"/>
        <item h="1" x="3"/>
        <item h="1" x="15"/>
        <item h="1" x="9"/>
        <item x="23"/>
        <item x="8"/>
        <item h="1" x="13"/>
        <item h="1" x="7"/>
        <item x="22"/>
        <item h="1" x="21"/>
        <item h="1" x="1"/>
        <item h="1" x="11"/>
        <item h="1" x="14"/>
        <item h="1" x="10"/>
        <item h="1" x="4"/>
        <item h="1" x="20"/>
        <item h="1" x="12"/>
        <item h="1" x="16"/>
        <item x="17"/>
        <item x="19"/>
        <item h="1" x="6"/>
        <item h="1" x="0"/>
        <item h="1" x="2"/>
        <item t="default"/>
      </items>
    </pivotField>
    <pivotField showAll="0">
      <items count="7">
        <item x="5"/>
        <item x="1"/>
        <item x="4"/>
        <item x="2"/>
        <item x="3"/>
        <item x="0"/>
        <item t="default"/>
      </items>
    </pivotField>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11">
    <i>
      <x/>
    </i>
    <i>
      <x v="1"/>
    </i>
    <i>
      <x v="2"/>
    </i>
    <i>
      <x v="3"/>
    </i>
    <i>
      <x v="4"/>
    </i>
    <i>
      <x v="5"/>
    </i>
    <i>
      <x v="6"/>
    </i>
    <i>
      <x v="7"/>
    </i>
    <i>
      <x v="8"/>
    </i>
    <i>
      <x v="9"/>
    </i>
    <i t="grand">
      <x/>
    </i>
  </rowItems>
  <colItems count="1">
    <i/>
  </colItems>
  <dataFields count="1">
    <dataField name="Sum of Total Sales" fld="9"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511CC8-B588-4F87-8EFE-1C519758513A}" name="PivotTable2"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15">
  <location ref="A30:B43" firstHeaderRow="1" firstDataRow="1" firstDataCol="1"/>
  <pivotFields count="17">
    <pivotField showAll="0"/>
    <pivotField numFmtId="164" showAll="0">
      <items count="516">
        <item x="282"/>
        <item x="388"/>
        <item x="402"/>
        <item x="77"/>
        <item x="453"/>
        <item x="235"/>
        <item x="71"/>
        <item x="363"/>
        <item x="461"/>
        <item x="53"/>
        <item x="299"/>
        <item x="287"/>
        <item x="509"/>
        <item x="464"/>
        <item x="278"/>
        <item x="332"/>
        <item x="209"/>
        <item x="103"/>
        <item x="128"/>
        <item x="146"/>
        <item x="272"/>
        <item x="22"/>
        <item x="232"/>
        <item x="21"/>
        <item x="321"/>
        <item x="295"/>
        <item x="433"/>
        <item x="55"/>
        <item x="132"/>
        <item x="424"/>
        <item x="304"/>
        <item x="192"/>
        <item x="391"/>
        <item x="104"/>
        <item x="371"/>
        <item x="237"/>
        <item x="253"/>
        <item x="241"/>
        <item x="503"/>
        <item x="11"/>
        <item x="339"/>
        <item x="158"/>
        <item x="7"/>
        <item x="0"/>
        <item x="443"/>
        <item x="308"/>
        <item x="380"/>
        <item x="10"/>
        <item x="439"/>
        <item x="264"/>
        <item x="94"/>
        <item x="229"/>
        <item x="72"/>
        <item x="452"/>
        <item x="233"/>
        <item x="268"/>
        <item x="340"/>
        <item x="511"/>
        <item x="382"/>
        <item x="258"/>
        <item x="30"/>
        <item x="491"/>
        <item x="210"/>
        <item x="399"/>
        <item x="66"/>
        <item x="101"/>
        <item x="82"/>
        <item x="23"/>
        <item x="496"/>
        <item x="122"/>
        <item x="142"/>
        <item x="214"/>
        <item x="157"/>
        <item x="186"/>
        <item x="351"/>
        <item x="20"/>
        <item x="485"/>
        <item x="97"/>
        <item x="61"/>
        <item x="409"/>
        <item x="259"/>
        <item x="514"/>
        <item x="507"/>
        <item x="116"/>
        <item x="383"/>
        <item x="150"/>
        <item x="330"/>
        <item x="73"/>
        <item x="217"/>
        <item x="211"/>
        <item x="403"/>
        <item x="118"/>
        <item x="96"/>
        <item x="490"/>
        <item x="395"/>
        <item x="430"/>
        <item x="247"/>
        <item x="260"/>
        <item x="178"/>
        <item x="422"/>
        <item x="498"/>
        <item x="154"/>
        <item x="420"/>
        <item x="480"/>
        <item x="111"/>
        <item x="300"/>
        <item x="57"/>
        <item x="446"/>
        <item x="62"/>
        <item x="60"/>
        <item x="100"/>
        <item x="314"/>
        <item x="319"/>
        <item x="468"/>
        <item x="481"/>
        <item x="316"/>
        <item x="357"/>
        <item x="84"/>
        <item x="161"/>
        <item x="405"/>
        <item x="261"/>
        <item x="311"/>
        <item x="234"/>
        <item x="168"/>
        <item x="398"/>
        <item x="193"/>
        <item x="93"/>
        <item x="106"/>
        <item x="494"/>
        <item x="379"/>
        <item x="164"/>
        <item x="400"/>
        <item x="335"/>
        <item x="454"/>
        <item x="317"/>
        <item x="469"/>
        <item x="152"/>
        <item x="249"/>
        <item x="115"/>
        <item x="79"/>
        <item x="327"/>
        <item x="385"/>
        <item x="372"/>
        <item x="184"/>
        <item x="1"/>
        <item x="376"/>
        <item x="68"/>
        <item x="248"/>
        <item x="95"/>
        <item x="102"/>
        <item x="44"/>
        <item x="354"/>
        <item x="5"/>
        <item x="239"/>
        <item x="179"/>
        <item x="90"/>
        <item x="140"/>
        <item x="401"/>
        <item x="445"/>
        <item x="33"/>
        <item x="359"/>
        <item x="329"/>
        <item x="182"/>
        <item x="364"/>
        <item x="289"/>
        <item x="486"/>
        <item x="426"/>
        <item x="45"/>
        <item x="286"/>
        <item x="14"/>
        <item x="153"/>
        <item x="156"/>
        <item x="276"/>
        <item x="387"/>
        <item x="230"/>
        <item x="296"/>
        <item x="113"/>
        <item x="174"/>
        <item x="367"/>
        <item x="427"/>
        <item x="147"/>
        <item x="205"/>
        <item x="269"/>
        <item x="488"/>
        <item x="489"/>
        <item x="478"/>
        <item x="125"/>
        <item x="207"/>
        <item x="281"/>
        <item x="43"/>
        <item x="63"/>
        <item x="466"/>
        <item x="428"/>
        <item x="413"/>
        <item x="99"/>
        <item x="109"/>
        <item x="342"/>
        <item x="410"/>
        <item x="449"/>
        <item x="412"/>
        <item x="279"/>
        <item x="199"/>
        <item x="280"/>
        <item x="266"/>
        <item x="141"/>
        <item x="459"/>
        <item x="78"/>
        <item x="208"/>
        <item x="434"/>
        <item x="504"/>
        <item x="368"/>
        <item x="58"/>
        <item x="271"/>
        <item x="501"/>
        <item x="13"/>
        <item x="251"/>
        <item x="360"/>
        <item x="173"/>
        <item x="215"/>
        <item x="213"/>
        <item x="263"/>
        <item x="187"/>
        <item x="479"/>
        <item x="475"/>
        <item x="162"/>
        <item x="267"/>
        <item x="225"/>
        <item x="305"/>
        <item x="139"/>
        <item x="98"/>
        <item x="338"/>
        <item x="226"/>
        <item x="206"/>
        <item x="290"/>
        <item x="441"/>
        <item x="476"/>
        <item x="408"/>
        <item x="361"/>
        <item x="134"/>
        <item x="243"/>
        <item x="143"/>
        <item x="107"/>
        <item x="240"/>
        <item x="473"/>
        <item x="497"/>
        <item x="431"/>
        <item x="40"/>
        <item x="411"/>
        <item x="26"/>
        <item x="463"/>
        <item x="175"/>
        <item x="343"/>
        <item x="328"/>
        <item x="6"/>
        <item x="46"/>
        <item x="185"/>
        <item x="436"/>
        <item x="294"/>
        <item x="42"/>
        <item x="435"/>
        <item x="3"/>
        <item x="180"/>
        <item x="165"/>
        <item x="273"/>
        <item x="50"/>
        <item x="191"/>
        <item x="250"/>
        <item x="24"/>
        <item x="244"/>
        <item x="356"/>
        <item x="65"/>
        <item x="120"/>
        <item x="465"/>
        <item x="15"/>
        <item x="362"/>
        <item x="4"/>
        <item x="238"/>
        <item x="34"/>
        <item x="313"/>
        <item x="149"/>
        <item x="458"/>
        <item x="326"/>
        <item x="315"/>
        <item x="41"/>
        <item x="25"/>
        <item x="341"/>
        <item x="69"/>
        <item x="396"/>
        <item x="397"/>
        <item x="59"/>
        <item x="419"/>
        <item x="256"/>
        <item x="447"/>
        <item x="298"/>
        <item x="393"/>
        <item x="2"/>
        <item x="320"/>
        <item x="334"/>
        <item x="451"/>
        <item x="423"/>
        <item x="257"/>
        <item x="80"/>
        <item x="350"/>
        <item x="203"/>
        <item x="117"/>
        <item x="417"/>
        <item x="151"/>
        <item x="254"/>
        <item x="190"/>
        <item x="347"/>
        <item x="47"/>
        <item x="75"/>
        <item x="310"/>
        <item x="414"/>
        <item x="227"/>
        <item x="131"/>
        <item x="474"/>
        <item x="471"/>
        <item x="392"/>
        <item x="477"/>
        <item x="112"/>
        <item x="17"/>
        <item x="484"/>
        <item x="127"/>
        <item x="228"/>
        <item x="429"/>
        <item x="52"/>
        <item x="37"/>
        <item x="124"/>
        <item x="167"/>
        <item x="418"/>
        <item x="274"/>
        <item x="159"/>
        <item x="220"/>
        <item x="506"/>
        <item x="32"/>
        <item x="297"/>
        <item x="386"/>
        <item x="432"/>
        <item x="369"/>
        <item x="406"/>
        <item x="136"/>
        <item x="482"/>
        <item x="472"/>
        <item x="500"/>
        <item x="83"/>
        <item x="358"/>
        <item x="373"/>
        <item x="85"/>
        <item x="425"/>
        <item x="499"/>
        <item x="236"/>
        <item x="450"/>
        <item x="36"/>
        <item x="48"/>
        <item x="196"/>
        <item x="16"/>
        <item x="303"/>
        <item x="35"/>
        <item x="336"/>
        <item x="64"/>
        <item x="252"/>
        <item x="224"/>
        <item x="318"/>
        <item x="255"/>
        <item x="381"/>
        <item x="242"/>
        <item x="67"/>
        <item x="81"/>
        <item x="145"/>
        <item x="495"/>
        <item x="202"/>
        <item x="144"/>
        <item x="345"/>
        <item x="89"/>
        <item x="188"/>
        <item x="212"/>
        <item x="129"/>
        <item x="284"/>
        <item x="325"/>
        <item x="138"/>
        <item x="265"/>
        <item x="512"/>
        <item x="333"/>
        <item x="49"/>
        <item x="394"/>
        <item x="312"/>
        <item x="222"/>
        <item x="492"/>
        <item x="19"/>
        <item x="352"/>
        <item x="18"/>
        <item x="56"/>
        <item x="337"/>
        <item x="172"/>
        <item x="91"/>
        <item x="200"/>
        <item x="378"/>
        <item x="195"/>
        <item x="421"/>
        <item x="353"/>
        <item x="12"/>
        <item x="155"/>
        <item x="307"/>
        <item x="246"/>
        <item x="39"/>
        <item x="283"/>
        <item x="288"/>
        <item x="28"/>
        <item x="467"/>
        <item x="384"/>
        <item x="87"/>
        <item x="292"/>
        <item x="70"/>
        <item x="31"/>
        <item x="163"/>
        <item x="377"/>
        <item x="493"/>
        <item x="135"/>
        <item x="390"/>
        <item x="194"/>
        <item x="86"/>
        <item x="201"/>
        <item x="309"/>
        <item x="130"/>
        <item x="160"/>
        <item x="375"/>
        <item x="177"/>
        <item x="54"/>
        <item x="231"/>
        <item x="306"/>
        <item x="502"/>
        <item x="470"/>
        <item x="389"/>
        <item x="183"/>
        <item x="181"/>
        <item x="407"/>
        <item x="404"/>
        <item x="204"/>
        <item x="219"/>
        <item x="457"/>
        <item x="277"/>
        <item x="198"/>
        <item x="221"/>
        <item x="74"/>
        <item x="270"/>
        <item x="92"/>
        <item x="348"/>
        <item x="344"/>
        <item x="487"/>
        <item x="275"/>
        <item x="262"/>
        <item x="455"/>
        <item x="331"/>
        <item x="126"/>
        <item x="444"/>
        <item x="171"/>
        <item x="483"/>
        <item x="293"/>
        <item x="27"/>
        <item x="346"/>
        <item x="110"/>
        <item x="505"/>
        <item x="462"/>
        <item x="291"/>
        <item x="8"/>
        <item x="216"/>
        <item x="105"/>
        <item x="415"/>
        <item x="370"/>
        <item x="51"/>
        <item x="108"/>
        <item x="365"/>
        <item x="355"/>
        <item x="456"/>
        <item x="223"/>
        <item x="123"/>
        <item x="440"/>
        <item x="374"/>
        <item x="169"/>
        <item x="323"/>
        <item x="218"/>
        <item x="133"/>
        <item x="301"/>
        <item x="38"/>
        <item x="322"/>
        <item x="148"/>
        <item x="366"/>
        <item x="189"/>
        <item x="170"/>
        <item x="9"/>
        <item x="510"/>
        <item x="114"/>
        <item x="176"/>
        <item x="438"/>
        <item x="121"/>
        <item x="442"/>
        <item x="76"/>
        <item x="513"/>
        <item x="166"/>
        <item x="119"/>
        <item x="460"/>
        <item x="29"/>
        <item x="508"/>
        <item x="416"/>
        <item x="324"/>
        <item x="197"/>
        <item x="88"/>
        <item x="448"/>
        <item x="137"/>
        <item x="437"/>
        <item x="302"/>
        <item x="349"/>
        <item x="245"/>
        <item x="285"/>
        <item t="default"/>
      </items>
    </pivotField>
    <pivotField showAll="0"/>
    <pivotField showAll="0"/>
    <pivotField showAll="0"/>
    <pivotField showAll="0">
      <items count="25">
        <item h="1" x="18"/>
        <item h="1" x="5"/>
        <item h="1" x="3"/>
        <item h="1" x="15"/>
        <item h="1" x="9"/>
        <item x="23"/>
        <item x="8"/>
        <item h="1" x="13"/>
        <item h="1" x="7"/>
        <item x="22"/>
        <item h="1" x="21"/>
        <item h="1" x="1"/>
        <item h="1" x="11"/>
        <item h="1" x="14"/>
        <item h="1" x="10"/>
        <item h="1" x="4"/>
        <item h="1" x="20"/>
        <item h="1" x="12"/>
        <item h="1" x="16"/>
        <item x="17"/>
        <item x="19"/>
        <item h="1" x="6"/>
        <item h="1" x="0"/>
        <item h="1" x="2"/>
        <item t="default"/>
      </items>
    </pivotField>
    <pivotField showAll="0">
      <items count="7">
        <item x="5"/>
        <item x="1"/>
        <item x="4"/>
        <item x="2"/>
        <item x="3"/>
        <item x="0"/>
        <item t="default"/>
      </items>
    </pivotField>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 Sales" fld="9" baseField="0" baseItem="0"/>
  </dataFields>
  <chartFormats count="6">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635511-0D49-4E71-B581-92DB22E1C1D4}" name="PivotTable8" cacheId="0" applyNumberFormats="0" applyBorderFormats="0" applyFontFormats="0" applyPatternFormats="0" applyAlignmentFormats="0" applyWidthHeightFormats="1" dataCaption="Values" updatedVersion="8" minRefreshableVersion="5" useAutoFormatting="1" itemPrintTitles="1" createdVersion="8" indent="0" multipleFieldFilters="0" chartFormat="27">
  <location ref="A66:A67" firstHeaderRow="1" firstDataRow="1" firstDataCol="0"/>
  <pivotFields count="17">
    <pivotField showAll="0"/>
    <pivotField numFmtId="164" showAll="0">
      <items count="516">
        <item x="282"/>
        <item x="388"/>
        <item x="402"/>
        <item x="77"/>
        <item x="453"/>
        <item x="235"/>
        <item x="71"/>
        <item x="363"/>
        <item x="461"/>
        <item x="53"/>
        <item x="299"/>
        <item x="287"/>
        <item x="509"/>
        <item x="464"/>
        <item x="278"/>
        <item x="332"/>
        <item x="209"/>
        <item x="103"/>
        <item x="128"/>
        <item x="146"/>
        <item x="272"/>
        <item x="22"/>
        <item x="232"/>
        <item x="21"/>
        <item x="321"/>
        <item x="295"/>
        <item x="433"/>
        <item x="55"/>
        <item x="132"/>
        <item x="424"/>
        <item x="304"/>
        <item x="192"/>
        <item x="391"/>
        <item x="104"/>
        <item x="371"/>
        <item x="237"/>
        <item x="253"/>
        <item x="241"/>
        <item x="503"/>
        <item x="11"/>
        <item x="339"/>
        <item x="158"/>
        <item x="7"/>
        <item x="0"/>
        <item x="443"/>
        <item x="308"/>
        <item x="380"/>
        <item x="10"/>
        <item x="439"/>
        <item x="264"/>
        <item x="94"/>
        <item x="229"/>
        <item x="72"/>
        <item x="452"/>
        <item x="233"/>
        <item x="268"/>
        <item x="340"/>
        <item x="511"/>
        <item x="382"/>
        <item x="258"/>
        <item x="30"/>
        <item x="491"/>
        <item x="210"/>
        <item x="399"/>
        <item x="66"/>
        <item x="101"/>
        <item x="82"/>
        <item x="23"/>
        <item x="496"/>
        <item x="122"/>
        <item x="142"/>
        <item x="214"/>
        <item x="157"/>
        <item x="186"/>
        <item x="351"/>
        <item x="20"/>
        <item x="485"/>
        <item x="97"/>
        <item x="61"/>
        <item x="409"/>
        <item x="259"/>
        <item x="514"/>
        <item x="507"/>
        <item x="116"/>
        <item x="383"/>
        <item x="150"/>
        <item x="330"/>
        <item x="73"/>
        <item x="217"/>
        <item x="211"/>
        <item x="403"/>
        <item x="118"/>
        <item x="96"/>
        <item x="490"/>
        <item x="395"/>
        <item x="430"/>
        <item x="247"/>
        <item x="260"/>
        <item x="178"/>
        <item x="422"/>
        <item x="498"/>
        <item x="154"/>
        <item x="420"/>
        <item x="480"/>
        <item x="111"/>
        <item x="300"/>
        <item x="57"/>
        <item x="446"/>
        <item x="62"/>
        <item x="60"/>
        <item x="100"/>
        <item x="314"/>
        <item x="319"/>
        <item x="468"/>
        <item x="481"/>
        <item x="316"/>
        <item x="357"/>
        <item x="84"/>
        <item x="161"/>
        <item x="405"/>
        <item x="261"/>
        <item x="311"/>
        <item x="234"/>
        <item x="168"/>
        <item x="398"/>
        <item x="193"/>
        <item x="93"/>
        <item x="106"/>
        <item x="494"/>
        <item x="379"/>
        <item x="164"/>
        <item x="400"/>
        <item x="335"/>
        <item x="454"/>
        <item x="317"/>
        <item x="469"/>
        <item x="152"/>
        <item x="249"/>
        <item x="115"/>
        <item x="79"/>
        <item x="327"/>
        <item x="385"/>
        <item x="372"/>
        <item x="184"/>
        <item x="1"/>
        <item x="376"/>
        <item x="68"/>
        <item x="248"/>
        <item x="95"/>
        <item x="102"/>
        <item x="44"/>
        <item x="354"/>
        <item x="5"/>
        <item x="239"/>
        <item x="179"/>
        <item x="90"/>
        <item x="140"/>
        <item x="401"/>
        <item x="445"/>
        <item x="33"/>
        <item x="359"/>
        <item x="329"/>
        <item x="182"/>
        <item x="364"/>
        <item x="289"/>
        <item x="486"/>
        <item x="426"/>
        <item x="45"/>
        <item x="286"/>
        <item x="14"/>
        <item x="153"/>
        <item x="156"/>
        <item x="276"/>
        <item x="387"/>
        <item x="230"/>
        <item x="296"/>
        <item x="113"/>
        <item x="174"/>
        <item x="367"/>
        <item x="427"/>
        <item x="147"/>
        <item x="205"/>
        <item x="269"/>
        <item x="488"/>
        <item x="489"/>
        <item x="478"/>
        <item x="125"/>
        <item x="207"/>
        <item x="281"/>
        <item x="43"/>
        <item x="63"/>
        <item x="466"/>
        <item x="428"/>
        <item x="413"/>
        <item x="99"/>
        <item x="109"/>
        <item x="342"/>
        <item x="410"/>
        <item x="449"/>
        <item x="412"/>
        <item x="279"/>
        <item x="199"/>
        <item x="280"/>
        <item x="266"/>
        <item x="141"/>
        <item x="459"/>
        <item x="78"/>
        <item x="208"/>
        <item x="434"/>
        <item x="504"/>
        <item x="368"/>
        <item x="58"/>
        <item x="271"/>
        <item x="501"/>
        <item x="13"/>
        <item x="251"/>
        <item x="360"/>
        <item x="173"/>
        <item x="215"/>
        <item x="213"/>
        <item x="263"/>
        <item x="187"/>
        <item x="479"/>
        <item x="475"/>
        <item x="162"/>
        <item x="267"/>
        <item x="225"/>
        <item x="305"/>
        <item x="139"/>
        <item x="98"/>
        <item x="338"/>
        <item x="226"/>
        <item x="206"/>
        <item x="290"/>
        <item x="441"/>
        <item x="476"/>
        <item x="408"/>
        <item x="361"/>
        <item x="134"/>
        <item x="243"/>
        <item x="143"/>
        <item x="107"/>
        <item x="240"/>
        <item x="473"/>
        <item x="497"/>
        <item x="431"/>
        <item x="40"/>
        <item x="411"/>
        <item x="26"/>
        <item x="463"/>
        <item x="175"/>
        <item x="343"/>
        <item x="328"/>
        <item x="6"/>
        <item x="46"/>
        <item x="185"/>
        <item x="436"/>
        <item x="294"/>
        <item x="42"/>
        <item x="435"/>
        <item x="3"/>
        <item x="180"/>
        <item x="165"/>
        <item x="273"/>
        <item x="50"/>
        <item x="191"/>
        <item x="250"/>
        <item x="24"/>
        <item x="244"/>
        <item x="356"/>
        <item x="65"/>
        <item x="120"/>
        <item x="465"/>
        <item x="15"/>
        <item x="362"/>
        <item x="4"/>
        <item x="238"/>
        <item x="34"/>
        <item x="313"/>
        <item x="149"/>
        <item x="458"/>
        <item x="326"/>
        <item x="315"/>
        <item x="41"/>
        <item x="25"/>
        <item x="341"/>
        <item x="69"/>
        <item x="396"/>
        <item x="397"/>
        <item x="59"/>
        <item x="419"/>
        <item x="256"/>
        <item x="447"/>
        <item x="298"/>
        <item x="393"/>
        <item x="2"/>
        <item x="320"/>
        <item x="334"/>
        <item x="451"/>
        <item x="423"/>
        <item x="257"/>
        <item x="80"/>
        <item x="350"/>
        <item x="203"/>
        <item x="117"/>
        <item x="417"/>
        <item x="151"/>
        <item x="254"/>
        <item x="190"/>
        <item x="347"/>
        <item x="47"/>
        <item x="75"/>
        <item x="310"/>
        <item x="414"/>
        <item x="227"/>
        <item x="131"/>
        <item x="474"/>
        <item x="471"/>
        <item x="392"/>
        <item x="477"/>
        <item x="112"/>
        <item x="17"/>
        <item x="484"/>
        <item x="127"/>
        <item x="228"/>
        <item x="429"/>
        <item x="52"/>
        <item x="37"/>
        <item x="124"/>
        <item x="167"/>
        <item x="418"/>
        <item x="274"/>
        <item x="159"/>
        <item x="220"/>
        <item x="506"/>
        <item x="32"/>
        <item x="297"/>
        <item x="386"/>
        <item x="432"/>
        <item x="369"/>
        <item x="406"/>
        <item x="136"/>
        <item x="482"/>
        <item x="472"/>
        <item x="500"/>
        <item x="83"/>
        <item x="358"/>
        <item x="373"/>
        <item x="85"/>
        <item x="425"/>
        <item x="499"/>
        <item x="236"/>
        <item x="450"/>
        <item x="36"/>
        <item x="48"/>
        <item x="196"/>
        <item x="16"/>
        <item x="303"/>
        <item x="35"/>
        <item x="336"/>
        <item x="64"/>
        <item x="252"/>
        <item x="224"/>
        <item x="318"/>
        <item x="255"/>
        <item x="381"/>
        <item x="242"/>
        <item x="67"/>
        <item x="81"/>
        <item x="145"/>
        <item x="495"/>
        <item x="202"/>
        <item x="144"/>
        <item x="345"/>
        <item x="89"/>
        <item x="188"/>
        <item x="212"/>
        <item x="129"/>
        <item x="284"/>
        <item x="325"/>
        <item x="138"/>
        <item x="265"/>
        <item x="512"/>
        <item x="333"/>
        <item x="49"/>
        <item x="394"/>
        <item x="312"/>
        <item x="222"/>
        <item x="492"/>
        <item x="19"/>
        <item x="352"/>
        <item x="18"/>
        <item x="56"/>
        <item x="337"/>
        <item x="172"/>
        <item x="91"/>
        <item x="200"/>
        <item x="378"/>
        <item x="195"/>
        <item x="421"/>
        <item x="353"/>
        <item x="12"/>
        <item x="155"/>
        <item x="307"/>
        <item x="246"/>
        <item x="39"/>
        <item x="283"/>
        <item x="288"/>
        <item x="28"/>
        <item x="467"/>
        <item x="384"/>
        <item x="87"/>
        <item x="292"/>
        <item x="70"/>
        <item x="31"/>
        <item x="163"/>
        <item x="377"/>
        <item x="493"/>
        <item x="135"/>
        <item x="390"/>
        <item x="194"/>
        <item x="86"/>
        <item x="201"/>
        <item x="309"/>
        <item x="130"/>
        <item x="160"/>
        <item x="375"/>
        <item x="177"/>
        <item x="54"/>
        <item x="231"/>
        <item x="306"/>
        <item x="502"/>
        <item x="470"/>
        <item x="389"/>
        <item x="183"/>
        <item x="181"/>
        <item x="407"/>
        <item x="404"/>
        <item x="204"/>
        <item x="219"/>
        <item x="457"/>
        <item x="277"/>
        <item x="198"/>
        <item x="221"/>
        <item x="74"/>
        <item x="270"/>
        <item x="92"/>
        <item x="348"/>
        <item x="344"/>
        <item x="487"/>
        <item x="275"/>
        <item x="262"/>
        <item x="455"/>
        <item x="331"/>
        <item x="126"/>
        <item x="444"/>
        <item x="171"/>
        <item x="483"/>
        <item x="293"/>
        <item x="27"/>
        <item x="346"/>
        <item x="110"/>
        <item x="505"/>
        <item x="462"/>
        <item x="291"/>
        <item x="8"/>
        <item x="216"/>
        <item x="105"/>
        <item x="415"/>
        <item x="370"/>
        <item x="51"/>
        <item x="108"/>
        <item x="365"/>
        <item x="355"/>
        <item x="456"/>
        <item x="223"/>
        <item x="123"/>
        <item x="440"/>
        <item x="374"/>
        <item x="169"/>
        <item x="323"/>
        <item x="218"/>
        <item x="133"/>
        <item x="301"/>
        <item x="38"/>
        <item x="322"/>
        <item x="148"/>
        <item x="366"/>
        <item x="189"/>
        <item x="170"/>
        <item x="9"/>
        <item x="510"/>
        <item x="114"/>
        <item x="176"/>
        <item x="438"/>
        <item x="121"/>
        <item x="442"/>
        <item x="76"/>
        <item x="513"/>
        <item x="166"/>
        <item x="119"/>
        <item x="460"/>
        <item x="29"/>
        <item x="508"/>
        <item x="416"/>
        <item x="324"/>
        <item x="197"/>
        <item x="88"/>
        <item x="448"/>
        <item x="137"/>
        <item x="437"/>
        <item x="302"/>
        <item x="349"/>
        <item x="245"/>
        <item x="285"/>
        <item t="default"/>
      </items>
    </pivotField>
    <pivotField showAll="0"/>
    <pivotField showAll="0"/>
    <pivotField showAll="0"/>
    <pivotField showAll="0">
      <items count="25">
        <item h="1" x="18"/>
        <item h="1" x="5"/>
        <item h="1" x="3"/>
        <item h="1" x="15"/>
        <item h="1" x="9"/>
        <item x="23"/>
        <item x="8"/>
        <item h="1" x="13"/>
        <item h="1" x="7"/>
        <item x="22"/>
        <item h="1" x="21"/>
        <item h="1" x="1"/>
        <item h="1" x="11"/>
        <item h="1" x="14"/>
        <item h="1" x="10"/>
        <item h="1" x="4"/>
        <item h="1" x="20"/>
        <item h="1" x="12"/>
        <item h="1" x="16"/>
        <item x="17"/>
        <item x="19"/>
        <item h="1" x="6"/>
        <item h="1" x="0"/>
        <item h="1" x="2"/>
        <item t="default"/>
      </items>
    </pivotField>
    <pivotField showAll="0">
      <items count="7">
        <item x="5"/>
        <item x="1"/>
        <item x="4"/>
        <item x="2"/>
        <item x="3"/>
        <item x="0"/>
        <item t="default"/>
      </items>
    </pivotField>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Total Sales" fld="9" subtotal="count"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24D65D1-34A2-47A5-9FC6-2AFBB6E4981A}" sourceName="State">
  <data>
    <tabular pivotCacheId="1291051459">
      <items count="10">
        <i x="4"/>
        <i x="3"/>
        <i x="6"/>
        <i x="5"/>
        <i x="7"/>
        <i x="9"/>
        <i x="0"/>
        <i x="1"/>
        <i x="2" s="1"/>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5E4A20D-B2FE-40FE-BC57-47DEAEE7772F}" sourceName="Product">
  <pivotTables>
    <pivotTable tabId="2" name="PivotTable2"/>
    <pivotTable tabId="2" name="PivotTable4"/>
    <pivotTable tabId="2" name="PivotTable5"/>
    <pivotTable tabId="2" name="PivotTable6"/>
    <pivotTable tabId="2" name="PivotTable7"/>
    <pivotTable tabId="2" name="PivotTable8"/>
  </pivotTables>
  <data>
    <tabular pivotCacheId="1291051459">
      <items count="24">
        <i x="18"/>
        <i x="5"/>
        <i x="3"/>
        <i x="15"/>
        <i x="9"/>
        <i x="23" s="1"/>
        <i x="8" s="1"/>
        <i x="13"/>
        <i x="7"/>
        <i x="22" s="1"/>
        <i x="21"/>
        <i x="1"/>
        <i x="11"/>
        <i x="14"/>
        <i x="10"/>
        <i x="4"/>
        <i x="20"/>
        <i x="12"/>
        <i x="16"/>
        <i x="17" s="1"/>
        <i x="19" s="1"/>
        <i x="6"/>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EC24458-D8D5-4EA2-BC5D-F4E30E840ADF}" cache="Slicer_State" caption="State" columnCount="5" rowHeight="234950"/>
  <slicer name="Product" xr10:uid="{EFA030EF-555B-4B6A-AD6F-5ACAD5A51477}" cache="Slicer_Product" caption="Product" columnCount="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F8E94EAF-77A2-4753-938E-BE2C12DF8D0E}" cache="Slicer_State" caption="State" columnCount="5" rowHeight="234950"/>
  <slicer name="Product 1" xr10:uid="{C4297186-8629-4371-89F1-9053CA6AE814}" cache="Slicer_Product" caption="Product" columnCount="1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E53A88-E224-42FB-801A-2FD5F52AB49C}" name="Table1" displayName="Table1" ref="A1:N721" totalsRowShown="0" headerRowDxfId="3" headerRowBorderDxfId="2" tableBorderDxfId="1">
  <autoFilter ref="A1:N721" xr:uid="{78E53A88-E224-42FB-801A-2FD5F52AB49C}"/>
  <tableColumns count="14">
    <tableColumn id="1" xr3:uid="{59022021-2290-44CD-8884-2F49E697216F}" name="Order ID"/>
    <tableColumn id="2" xr3:uid="{C9C661E6-1DF6-4D56-B009-C02301A96C78}" name="Order Date" dataDxfId="0"/>
    <tableColumn id="3" xr3:uid="{C039AEA5-413A-4DFE-9CE1-EBD1C1354FF7}" name="Year"/>
    <tableColumn id="4" xr3:uid="{C3049896-2C9E-47DE-82B7-FB9A1021A861}" name="State"/>
    <tableColumn id="5" xr3:uid="{6509233F-8189-49D4-B890-8DEBB9B89812}" name="City"/>
    <tableColumn id="6" xr3:uid="{D1FE5A57-9A5C-4380-B88C-A9B5EF3EA4C8}" name="Product"/>
    <tableColumn id="7" xr3:uid="{E36C2A10-59B0-4718-9BB8-BF7D58A0DA1C}" name="Category"/>
    <tableColumn id="8" xr3:uid="{2D45078B-22D0-4266-8676-0C7EC77A7010}" name="Units Sold"/>
    <tableColumn id="9" xr3:uid="{DA74E6F1-94E6-4AD1-9395-AD18CF8C492B}" name="Unit Price"/>
    <tableColumn id="10" xr3:uid="{9FDB2FC4-07AB-40A8-BE49-C0404EF0E82E}" name="Total Sales"/>
    <tableColumn id="11" xr3:uid="{6CCED8D3-5CF0-40CC-94DF-ABE1CB004A5D}" name="Cost Price"/>
    <tableColumn id="12" xr3:uid="{1CE9E783-1106-405F-A6EF-49BAA8DA943C}" name="Profit"/>
    <tableColumn id="13" xr3:uid="{FCDB9028-AB68-41FC-9636-B654DB43D631}" name="Customer Type"/>
    <tableColumn id="14" xr3:uid="{48DF5B39-7F6B-4B5D-A2E6-258ABFDB31DD}" name="Payment Method"/>
  </tableColumns>
  <tableStyleInfo name="TableStyleLight1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67B8973-3938-4042-9E24-C4883992E180}" sourceName="Order Date">
  <pivotTables>
    <pivotTable tabId="2" name="PivotTable2"/>
    <pivotTable tabId="2" name="PivotTable4"/>
    <pivotTable tabId="2" name="PivotTable5"/>
    <pivotTable tabId="2" name="PivotTable6"/>
    <pivotTable tabId="2" name="PivotTable7"/>
    <pivotTable tabId="2" name="PivotTable8"/>
  </pivotTables>
  <state minimalRefreshVersion="6" lastRefreshVersion="6" pivotCacheId="1291051459"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6752056-F602-483D-8032-25462D831FD9}" cache="NativeTimeline_Order_Date" caption="Order Date" level="2" selectionLevel="2" scrollPosition="2024-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CEFE5F5A-8DFB-4E79-8C3E-1297EC5B4DF9}" cache="NativeTimeline_Order_Date" caption="Order Date" level="2" selectionLevel="2" scrollPosition="2023-12-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21"/>
  <sheetViews>
    <sheetView workbookViewId="0">
      <selection activeCell="F13" sqref="F13"/>
    </sheetView>
  </sheetViews>
  <sheetFormatPr defaultRowHeight="14.4" x14ac:dyDescent="0.3"/>
  <cols>
    <col min="1" max="15" width="19.2187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2001</v>
      </c>
      <c r="B2" s="4">
        <v>44647</v>
      </c>
      <c r="C2">
        <v>2022</v>
      </c>
      <c r="D2" t="s">
        <v>14</v>
      </c>
      <c r="E2" t="s">
        <v>24</v>
      </c>
      <c r="F2" t="s">
        <v>44</v>
      </c>
      <c r="G2" t="s">
        <v>68</v>
      </c>
      <c r="H2">
        <v>1</v>
      </c>
      <c r="I2">
        <v>32.49</v>
      </c>
      <c r="J2">
        <v>32.49</v>
      </c>
      <c r="K2">
        <v>24.99</v>
      </c>
      <c r="L2">
        <v>7.5</v>
      </c>
      <c r="M2" t="s">
        <v>74</v>
      </c>
      <c r="N2" t="s">
        <v>77</v>
      </c>
    </row>
    <row r="3" spans="1:14" x14ac:dyDescent="0.3">
      <c r="A3">
        <v>2002</v>
      </c>
      <c r="B3" s="4">
        <v>44848</v>
      </c>
      <c r="C3">
        <v>2022</v>
      </c>
      <c r="D3" t="s">
        <v>15</v>
      </c>
      <c r="E3" t="s">
        <v>25</v>
      </c>
      <c r="F3" t="s">
        <v>45</v>
      </c>
      <c r="G3" t="s">
        <v>69</v>
      </c>
      <c r="H3">
        <v>7</v>
      </c>
      <c r="I3">
        <v>70.760000000000005</v>
      </c>
      <c r="J3">
        <v>495.32</v>
      </c>
      <c r="K3">
        <v>48.01</v>
      </c>
      <c r="L3">
        <v>159.25</v>
      </c>
      <c r="M3" t="s">
        <v>74</v>
      </c>
      <c r="N3" t="s">
        <v>77</v>
      </c>
    </row>
    <row r="4" spans="1:14" x14ac:dyDescent="0.3">
      <c r="A4">
        <v>2003</v>
      </c>
      <c r="B4" s="4">
        <v>45193</v>
      </c>
      <c r="C4">
        <v>2023</v>
      </c>
      <c r="D4" t="s">
        <v>16</v>
      </c>
      <c r="E4" t="s">
        <v>26</v>
      </c>
      <c r="F4" t="s">
        <v>45</v>
      </c>
      <c r="G4" t="s">
        <v>69</v>
      </c>
      <c r="H4">
        <v>15</v>
      </c>
      <c r="I4">
        <v>125</v>
      </c>
      <c r="J4">
        <v>1875</v>
      </c>
      <c r="K4">
        <v>110.32</v>
      </c>
      <c r="L4">
        <v>220.2</v>
      </c>
      <c r="M4" t="s">
        <v>75</v>
      </c>
      <c r="N4" t="s">
        <v>78</v>
      </c>
    </row>
    <row r="5" spans="1:14" x14ac:dyDescent="0.3">
      <c r="A5">
        <v>2004</v>
      </c>
      <c r="B5" s="4">
        <v>45118</v>
      </c>
      <c r="C5">
        <v>2023</v>
      </c>
      <c r="D5" t="s">
        <v>17</v>
      </c>
      <c r="E5" t="s">
        <v>27</v>
      </c>
      <c r="F5" t="s">
        <v>45</v>
      </c>
      <c r="G5" t="s">
        <v>69</v>
      </c>
      <c r="H5">
        <v>3</v>
      </c>
      <c r="I5">
        <v>42.26</v>
      </c>
      <c r="J5">
        <v>126.78</v>
      </c>
      <c r="K5">
        <v>31.51</v>
      </c>
      <c r="L5">
        <v>32.25</v>
      </c>
      <c r="M5" t="s">
        <v>74</v>
      </c>
      <c r="N5" t="s">
        <v>79</v>
      </c>
    </row>
    <row r="6" spans="1:14" x14ac:dyDescent="0.3">
      <c r="A6">
        <v>2005</v>
      </c>
      <c r="B6" s="4">
        <v>45156</v>
      </c>
      <c r="C6">
        <v>2023</v>
      </c>
      <c r="D6" t="s">
        <v>15</v>
      </c>
      <c r="E6" t="s">
        <v>28</v>
      </c>
      <c r="F6" t="s">
        <v>46</v>
      </c>
      <c r="G6" t="s">
        <v>70</v>
      </c>
      <c r="H6">
        <v>1</v>
      </c>
      <c r="I6">
        <v>139.16999999999999</v>
      </c>
      <c r="J6">
        <v>139.16999999999999</v>
      </c>
      <c r="K6">
        <v>91.63</v>
      </c>
      <c r="L6">
        <v>47.54</v>
      </c>
      <c r="M6" t="s">
        <v>74</v>
      </c>
      <c r="N6" t="s">
        <v>78</v>
      </c>
    </row>
    <row r="7" spans="1:14" x14ac:dyDescent="0.3">
      <c r="A7">
        <v>2006</v>
      </c>
      <c r="B7" s="4">
        <v>44867</v>
      </c>
      <c r="C7">
        <v>2022</v>
      </c>
      <c r="D7" t="s">
        <v>15</v>
      </c>
      <c r="E7" t="s">
        <v>25</v>
      </c>
      <c r="F7" t="s">
        <v>47</v>
      </c>
      <c r="G7" t="s">
        <v>71</v>
      </c>
      <c r="H7">
        <v>1</v>
      </c>
      <c r="I7">
        <v>117.14</v>
      </c>
      <c r="J7">
        <v>117.14</v>
      </c>
      <c r="K7">
        <v>75.099999999999994</v>
      </c>
      <c r="L7">
        <v>42.04</v>
      </c>
      <c r="M7" t="s">
        <v>75</v>
      </c>
      <c r="N7" t="s">
        <v>80</v>
      </c>
    </row>
    <row r="8" spans="1:14" x14ac:dyDescent="0.3">
      <c r="A8">
        <v>2007</v>
      </c>
      <c r="B8" s="4">
        <v>45100</v>
      </c>
      <c r="C8">
        <v>2023</v>
      </c>
      <c r="D8" t="s">
        <v>18</v>
      </c>
      <c r="E8" t="s">
        <v>29</v>
      </c>
      <c r="F8" t="s">
        <v>44</v>
      </c>
      <c r="G8" t="s">
        <v>68</v>
      </c>
      <c r="H8">
        <v>16</v>
      </c>
      <c r="I8">
        <v>185.58</v>
      </c>
      <c r="J8">
        <v>2969.28</v>
      </c>
      <c r="K8">
        <v>117.43</v>
      </c>
      <c r="L8">
        <v>1090.4000000000001</v>
      </c>
      <c r="M8" t="s">
        <v>74</v>
      </c>
      <c r="N8" t="s">
        <v>78</v>
      </c>
    </row>
    <row r="9" spans="1:14" x14ac:dyDescent="0.3">
      <c r="A9">
        <v>2008</v>
      </c>
      <c r="B9" s="4">
        <v>44641</v>
      </c>
      <c r="C9">
        <v>2022</v>
      </c>
      <c r="D9" t="s">
        <v>14</v>
      </c>
      <c r="E9" t="s">
        <v>30</v>
      </c>
      <c r="F9" t="s">
        <v>48</v>
      </c>
      <c r="G9" t="s">
        <v>68</v>
      </c>
      <c r="H9">
        <v>5</v>
      </c>
      <c r="I9">
        <v>48.37</v>
      </c>
      <c r="J9">
        <v>241.85</v>
      </c>
      <c r="K9">
        <v>36.5</v>
      </c>
      <c r="L9">
        <v>59.35</v>
      </c>
      <c r="M9" t="s">
        <v>76</v>
      </c>
      <c r="N9" t="s">
        <v>79</v>
      </c>
    </row>
    <row r="10" spans="1:14" x14ac:dyDescent="0.3">
      <c r="A10">
        <v>2009</v>
      </c>
      <c r="B10" s="4">
        <v>45554</v>
      </c>
      <c r="C10">
        <v>2024</v>
      </c>
      <c r="D10" t="s">
        <v>19</v>
      </c>
      <c r="E10" t="s">
        <v>31</v>
      </c>
      <c r="F10" t="s">
        <v>49</v>
      </c>
      <c r="G10" t="s">
        <v>72</v>
      </c>
      <c r="H10">
        <v>20</v>
      </c>
      <c r="I10">
        <v>104.73</v>
      </c>
      <c r="J10">
        <v>2094.6</v>
      </c>
      <c r="K10">
        <v>74.599999999999994</v>
      </c>
      <c r="L10">
        <v>602.6</v>
      </c>
      <c r="M10" t="s">
        <v>75</v>
      </c>
      <c r="N10" t="s">
        <v>79</v>
      </c>
    </row>
    <row r="11" spans="1:14" x14ac:dyDescent="0.3">
      <c r="A11">
        <v>2010</v>
      </c>
      <c r="B11" s="4">
        <v>45607</v>
      </c>
      <c r="C11">
        <v>2024</v>
      </c>
      <c r="D11" t="s">
        <v>17</v>
      </c>
      <c r="E11" t="s">
        <v>27</v>
      </c>
      <c r="F11" t="s">
        <v>50</v>
      </c>
      <c r="G11" t="s">
        <v>73</v>
      </c>
      <c r="H11">
        <v>1</v>
      </c>
      <c r="I11">
        <v>113.87</v>
      </c>
      <c r="J11">
        <v>113.87</v>
      </c>
      <c r="K11">
        <v>86.73</v>
      </c>
      <c r="L11">
        <v>27.14</v>
      </c>
      <c r="M11" t="s">
        <v>74</v>
      </c>
      <c r="N11" t="s">
        <v>78</v>
      </c>
    </row>
    <row r="12" spans="1:14" x14ac:dyDescent="0.3">
      <c r="A12">
        <v>2011</v>
      </c>
      <c r="B12" s="4">
        <v>44654</v>
      </c>
      <c r="C12">
        <v>2022</v>
      </c>
      <c r="D12" t="s">
        <v>20</v>
      </c>
      <c r="E12" t="s">
        <v>32</v>
      </c>
      <c r="F12" t="s">
        <v>47</v>
      </c>
      <c r="G12" t="s">
        <v>71</v>
      </c>
      <c r="H12">
        <v>3</v>
      </c>
      <c r="I12">
        <v>90.8</v>
      </c>
      <c r="J12">
        <v>272.39999999999998</v>
      </c>
      <c r="K12">
        <v>76</v>
      </c>
      <c r="L12">
        <v>44.4</v>
      </c>
      <c r="M12" t="s">
        <v>75</v>
      </c>
      <c r="N12" t="s">
        <v>79</v>
      </c>
    </row>
    <row r="13" spans="1:14" x14ac:dyDescent="0.3">
      <c r="A13">
        <v>2012</v>
      </c>
      <c r="B13" s="4">
        <v>44633</v>
      </c>
      <c r="C13">
        <v>2022</v>
      </c>
      <c r="D13" t="s">
        <v>19</v>
      </c>
      <c r="E13" t="s">
        <v>31</v>
      </c>
      <c r="F13" t="s">
        <v>51</v>
      </c>
      <c r="G13" t="s">
        <v>69</v>
      </c>
      <c r="H13">
        <v>8</v>
      </c>
      <c r="I13">
        <v>182.85</v>
      </c>
      <c r="J13">
        <v>1462.8</v>
      </c>
      <c r="K13">
        <v>150.81</v>
      </c>
      <c r="L13">
        <v>256.32</v>
      </c>
      <c r="M13" t="s">
        <v>76</v>
      </c>
      <c r="N13" t="s">
        <v>79</v>
      </c>
    </row>
    <row r="14" spans="1:14" x14ac:dyDescent="0.3">
      <c r="A14">
        <v>2013</v>
      </c>
      <c r="B14" s="4">
        <v>45416</v>
      </c>
      <c r="C14">
        <v>2024</v>
      </c>
      <c r="D14" t="s">
        <v>21</v>
      </c>
      <c r="E14" t="s">
        <v>33</v>
      </c>
      <c r="F14" t="s">
        <v>45</v>
      </c>
      <c r="G14" t="s">
        <v>69</v>
      </c>
      <c r="H14">
        <v>18</v>
      </c>
      <c r="I14">
        <v>198.04</v>
      </c>
      <c r="J14">
        <v>3564.72</v>
      </c>
      <c r="K14">
        <v>162.16</v>
      </c>
      <c r="L14">
        <v>645.84</v>
      </c>
      <c r="M14" t="s">
        <v>75</v>
      </c>
      <c r="N14" t="s">
        <v>77</v>
      </c>
    </row>
    <row r="15" spans="1:14" x14ac:dyDescent="0.3">
      <c r="A15">
        <v>2014</v>
      </c>
      <c r="B15" s="4">
        <v>45012</v>
      </c>
      <c r="C15">
        <v>2023</v>
      </c>
      <c r="D15" t="s">
        <v>19</v>
      </c>
      <c r="E15" t="s">
        <v>31</v>
      </c>
      <c r="F15" t="s">
        <v>52</v>
      </c>
      <c r="G15" t="s">
        <v>71</v>
      </c>
      <c r="H15">
        <v>6</v>
      </c>
      <c r="I15">
        <v>22.3</v>
      </c>
      <c r="J15">
        <v>133.80000000000001</v>
      </c>
      <c r="K15">
        <v>16.8</v>
      </c>
      <c r="L15">
        <v>33</v>
      </c>
      <c r="M15" t="s">
        <v>76</v>
      </c>
      <c r="N15" t="s">
        <v>77</v>
      </c>
    </row>
    <row r="16" spans="1:14" x14ac:dyDescent="0.3">
      <c r="A16">
        <v>2015</v>
      </c>
      <c r="B16" s="4">
        <v>44907</v>
      </c>
      <c r="C16">
        <v>2022</v>
      </c>
      <c r="D16" t="s">
        <v>17</v>
      </c>
      <c r="E16" t="s">
        <v>34</v>
      </c>
      <c r="F16" t="s">
        <v>45</v>
      </c>
      <c r="G16" t="s">
        <v>69</v>
      </c>
      <c r="H16">
        <v>20</v>
      </c>
      <c r="I16">
        <v>179.47</v>
      </c>
      <c r="J16">
        <v>3589.4</v>
      </c>
      <c r="K16">
        <v>146.52000000000001</v>
      </c>
      <c r="L16">
        <v>659</v>
      </c>
      <c r="M16" t="s">
        <v>76</v>
      </c>
      <c r="N16" t="s">
        <v>80</v>
      </c>
    </row>
    <row r="17" spans="1:14" x14ac:dyDescent="0.3">
      <c r="A17">
        <v>2016</v>
      </c>
      <c r="B17" s="4">
        <v>45154</v>
      </c>
      <c r="C17">
        <v>2023</v>
      </c>
      <c r="D17" t="s">
        <v>20</v>
      </c>
      <c r="E17" t="s">
        <v>32</v>
      </c>
      <c r="F17" t="s">
        <v>53</v>
      </c>
      <c r="G17" t="s">
        <v>69</v>
      </c>
      <c r="H17">
        <v>11</v>
      </c>
      <c r="I17">
        <v>38.090000000000003</v>
      </c>
      <c r="J17">
        <v>418.99</v>
      </c>
      <c r="K17">
        <v>26.89</v>
      </c>
      <c r="L17">
        <v>123.2</v>
      </c>
      <c r="M17" t="s">
        <v>76</v>
      </c>
      <c r="N17" t="s">
        <v>80</v>
      </c>
    </row>
    <row r="18" spans="1:14" x14ac:dyDescent="0.3">
      <c r="A18">
        <v>2017</v>
      </c>
      <c r="B18" s="4">
        <v>45325</v>
      </c>
      <c r="C18">
        <v>2024</v>
      </c>
      <c r="D18" t="s">
        <v>14</v>
      </c>
      <c r="E18" t="s">
        <v>24</v>
      </c>
      <c r="F18" t="s">
        <v>54</v>
      </c>
      <c r="G18" t="s">
        <v>72</v>
      </c>
      <c r="H18">
        <v>7</v>
      </c>
      <c r="I18">
        <v>70.8</v>
      </c>
      <c r="J18">
        <v>495.6</v>
      </c>
      <c r="K18">
        <v>52.77</v>
      </c>
      <c r="L18">
        <v>126.21</v>
      </c>
      <c r="M18" t="s">
        <v>75</v>
      </c>
      <c r="N18" t="s">
        <v>80</v>
      </c>
    </row>
    <row r="19" spans="1:14" x14ac:dyDescent="0.3">
      <c r="A19">
        <v>2018</v>
      </c>
      <c r="B19" s="4">
        <v>45248</v>
      </c>
      <c r="C19">
        <v>2023</v>
      </c>
      <c r="D19" t="s">
        <v>14</v>
      </c>
      <c r="E19" t="s">
        <v>24</v>
      </c>
      <c r="F19" t="s">
        <v>55</v>
      </c>
      <c r="G19" t="s">
        <v>71</v>
      </c>
      <c r="H19">
        <v>12</v>
      </c>
      <c r="I19">
        <v>119.18</v>
      </c>
      <c r="J19">
        <v>1430.16</v>
      </c>
      <c r="K19">
        <v>94.13</v>
      </c>
      <c r="L19">
        <v>300.60000000000002</v>
      </c>
      <c r="M19" t="s">
        <v>75</v>
      </c>
      <c r="N19" t="s">
        <v>80</v>
      </c>
    </row>
    <row r="20" spans="1:14" x14ac:dyDescent="0.3">
      <c r="A20">
        <v>2019</v>
      </c>
      <c r="B20" s="4">
        <v>45386</v>
      </c>
      <c r="C20">
        <v>2024</v>
      </c>
      <c r="D20" t="s">
        <v>18</v>
      </c>
      <c r="E20" t="s">
        <v>29</v>
      </c>
      <c r="F20" t="s">
        <v>56</v>
      </c>
      <c r="G20" t="s">
        <v>70</v>
      </c>
      <c r="H20">
        <v>13</v>
      </c>
      <c r="I20">
        <v>109.22</v>
      </c>
      <c r="J20">
        <v>1419.86</v>
      </c>
      <c r="K20">
        <v>66.63</v>
      </c>
      <c r="L20">
        <v>553.66999999999996</v>
      </c>
      <c r="M20" t="s">
        <v>76</v>
      </c>
      <c r="N20" t="s">
        <v>79</v>
      </c>
    </row>
    <row r="21" spans="1:14" x14ac:dyDescent="0.3">
      <c r="A21">
        <v>2020</v>
      </c>
      <c r="B21" s="4">
        <v>45383</v>
      </c>
      <c r="C21">
        <v>2024</v>
      </c>
      <c r="D21" t="s">
        <v>17</v>
      </c>
      <c r="E21" t="s">
        <v>27</v>
      </c>
      <c r="F21" t="s">
        <v>57</v>
      </c>
      <c r="G21" t="s">
        <v>73</v>
      </c>
      <c r="H21">
        <v>18</v>
      </c>
      <c r="I21">
        <v>154.08000000000001</v>
      </c>
      <c r="J21">
        <v>2773.44</v>
      </c>
      <c r="K21">
        <v>106.42</v>
      </c>
      <c r="L21">
        <v>857.88</v>
      </c>
      <c r="M21" t="s">
        <v>74</v>
      </c>
      <c r="N21" t="s">
        <v>78</v>
      </c>
    </row>
    <row r="22" spans="1:14" x14ac:dyDescent="0.3">
      <c r="A22">
        <v>2021</v>
      </c>
      <c r="B22" s="4">
        <v>44703</v>
      </c>
      <c r="C22">
        <v>2022</v>
      </c>
      <c r="D22" t="s">
        <v>16</v>
      </c>
      <c r="E22" t="s">
        <v>35</v>
      </c>
      <c r="F22" t="s">
        <v>54</v>
      </c>
      <c r="G22" t="s">
        <v>72</v>
      </c>
      <c r="H22">
        <v>20</v>
      </c>
      <c r="I22">
        <v>129.22999999999999</v>
      </c>
      <c r="J22">
        <v>2584.6</v>
      </c>
      <c r="K22">
        <v>107.45</v>
      </c>
      <c r="L22">
        <v>435.6</v>
      </c>
      <c r="M22" t="s">
        <v>76</v>
      </c>
      <c r="N22" t="s">
        <v>77</v>
      </c>
    </row>
    <row r="23" spans="1:14" x14ac:dyDescent="0.3">
      <c r="A23">
        <v>2022</v>
      </c>
      <c r="B23" s="4">
        <v>44603</v>
      </c>
      <c r="C23">
        <v>2022</v>
      </c>
      <c r="D23" t="s">
        <v>22</v>
      </c>
      <c r="E23" t="s">
        <v>36</v>
      </c>
      <c r="F23" t="s">
        <v>52</v>
      </c>
      <c r="G23" t="s">
        <v>71</v>
      </c>
      <c r="H23">
        <v>7</v>
      </c>
      <c r="I23">
        <v>75.489999999999995</v>
      </c>
      <c r="J23">
        <v>528.42999999999995</v>
      </c>
      <c r="K23">
        <v>64.91</v>
      </c>
      <c r="L23">
        <v>74.06</v>
      </c>
      <c r="M23" t="s">
        <v>75</v>
      </c>
      <c r="N23" t="s">
        <v>80</v>
      </c>
    </row>
    <row r="24" spans="1:14" x14ac:dyDescent="0.3">
      <c r="A24">
        <v>2023</v>
      </c>
      <c r="B24" s="4">
        <v>44600</v>
      </c>
      <c r="C24">
        <v>2022</v>
      </c>
      <c r="D24" t="s">
        <v>21</v>
      </c>
      <c r="E24" t="s">
        <v>33</v>
      </c>
      <c r="F24" t="s">
        <v>58</v>
      </c>
      <c r="G24" t="s">
        <v>68</v>
      </c>
      <c r="H24">
        <v>20</v>
      </c>
      <c r="I24">
        <v>135.22</v>
      </c>
      <c r="J24">
        <v>2704.4</v>
      </c>
      <c r="K24">
        <v>102.07</v>
      </c>
      <c r="L24">
        <v>663</v>
      </c>
      <c r="M24" t="s">
        <v>76</v>
      </c>
      <c r="N24" t="s">
        <v>77</v>
      </c>
    </row>
    <row r="25" spans="1:14" x14ac:dyDescent="0.3">
      <c r="A25">
        <v>2024</v>
      </c>
      <c r="B25" s="4">
        <v>44685</v>
      </c>
      <c r="C25">
        <v>2022</v>
      </c>
      <c r="D25" t="s">
        <v>16</v>
      </c>
      <c r="E25" t="s">
        <v>26</v>
      </c>
      <c r="F25" t="s">
        <v>45</v>
      </c>
      <c r="G25" t="s">
        <v>69</v>
      </c>
      <c r="H25">
        <v>20</v>
      </c>
      <c r="I25">
        <v>158.69</v>
      </c>
      <c r="J25">
        <v>3173.8</v>
      </c>
      <c r="K25">
        <v>122.51</v>
      </c>
      <c r="L25">
        <v>723.6</v>
      </c>
      <c r="M25" t="s">
        <v>76</v>
      </c>
      <c r="N25" t="s">
        <v>79</v>
      </c>
    </row>
    <row r="26" spans="1:14" x14ac:dyDescent="0.3">
      <c r="A26">
        <v>2025</v>
      </c>
      <c r="B26" s="4">
        <v>45139</v>
      </c>
      <c r="C26">
        <v>2023</v>
      </c>
      <c r="D26" t="s">
        <v>23</v>
      </c>
      <c r="E26" t="s">
        <v>37</v>
      </c>
      <c r="F26" t="s">
        <v>56</v>
      </c>
      <c r="G26" t="s">
        <v>70</v>
      </c>
      <c r="H26">
        <v>9</v>
      </c>
      <c r="I26">
        <v>115.73</v>
      </c>
      <c r="J26">
        <v>1041.57</v>
      </c>
      <c r="K26">
        <v>102.23</v>
      </c>
      <c r="L26">
        <v>121.5</v>
      </c>
      <c r="M26" t="s">
        <v>76</v>
      </c>
      <c r="N26" t="s">
        <v>78</v>
      </c>
    </row>
    <row r="27" spans="1:14" x14ac:dyDescent="0.3">
      <c r="A27">
        <v>2026</v>
      </c>
      <c r="B27" s="4">
        <v>45175</v>
      </c>
      <c r="C27">
        <v>2023</v>
      </c>
      <c r="D27" t="s">
        <v>22</v>
      </c>
      <c r="E27" t="s">
        <v>38</v>
      </c>
      <c r="F27" t="s">
        <v>59</v>
      </c>
      <c r="G27" t="s">
        <v>69</v>
      </c>
      <c r="H27">
        <v>6</v>
      </c>
      <c r="I27">
        <v>105.61</v>
      </c>
      <c r="J27">
        <v>633.66</v>
      </c>
      <c r="K27">
        <v>69.72</v>
      </c>
      <c r="L27">
        <v>215.34</v>
      </c>
      <c r="M27" t="s">
        <v>74</v>
      </c>
      <c r="N27" t="s">
        <v>80</v>
      </c>
    </row>
    <row r="28" spans="1:14" x14ac:dyDescent="0.3">
      <c r="A28">
        <v>2027</v>
      </c>
      <c r="B28" s="4">
        <v>45092</v>
      </c>
      <c r="C28">
        <v>2023</v>
      </c>
      <c r="D28" t="s">
        <v>21</v>
      </c>
      <c r="E28" t="s">
        <v>33</v>
      </c>
      <c r="F28" t="s">
        <v>55</v>
      </c>
      <c r="G28" t="s">
        <v>71</v>
      </c>
      <c r="H28">
        <v>10</v>
      </c>
      <c r="I28">
        <v>107.11</v>
      </c>
      <c r="J28">
        <v>1071.0999999999999</v>
      </c>
      <c r="K28">
        <v>87.17</v>
      </c>
      <c r="L28">
        <v>199.4</v>
      </c>
      <c r="M28" t="s">
        <v>76</v>
      </c>
      <c r="N28" t="s">
        <v>77</v>
      </c>
    </row>
    <row r="29" spans="1:14" x14ac:dyDescent="0.3">
      <c r="A29">
        <v>2028</v>
      </c>
      <c r="B29" s="4">
        <v>45539</v>
      </c>
      <c r="C29">
        <v>2024</v>
      </c>
      <c r="D29" t="s">
        <v>14</v>
      </c>
      <c r="E29" t="s">
        <v>24</v>
      </c>
      <c r="F29" t="s">
        <v>60</v>
      </c>
      <c r="G29" t="s">
        <v>73</v>
      </c>
      <c r="H29">
        <v>12</v>
      </c>
      <c r="I29">
        <v>30.52</v>
      </c>
      <c r="J29">
        <v>366.24</v>
      </c>
      <c r="K29">
        <v>23.39</v>
      </c>
      <c r="L29">
        <v>85.56</v>
      </c>
      <c r="M29" t="s">
        <v>76</v>
      </c>
      <c r="N29" t="s">
        <v>80</v>
      </c>
    </row>
    <row r="30" spans="1:14" x14ac:dyDescent="0.3">
      <c r="A30">
        <v>2029</v>
      </c>
      <c r="B30" s="4">
        <v>45430</v>
      </c>
      <c r="C30">
        <v>2024</v>
      </c>
      <c r="D30" t="s">
        <v>21</v>
      </c>
      <c r="E30" t="s">
        <v>33</v>
      </c>
      <c r="F30" t="s">
        <v>61</v>
      </c>
      <c r="G30" t="s">
        <v>68</v>
      </c>
      <c r="H30">
        <v>13</v>
      </c>
      <c r="I30">
        <v>188.99</v>
      </c>
      <c r="J30">
        <v>2456.87</v>
      </c>
      <c r="K30">
        <v>167.44</v>
      </c>
      <c r="L30">
        <v>280.14999999999998</v>
      </c>
      <c r="M30" t="s">
        <v>75</v>
      </c>
      <c r="N30" t="s">
        <v>80</v>
      </c>
    </row>
    <row r="31" spans="1:14" x14ac:dyDescent="0.3">
      <c r="A31">
        <v>2030</v>
      </c>
      <c r="B31" s="4">
        <v>45633</v>
      </c>
      <c r="C31">
        <v>2024</v>
      </c>
      <c r="D31" t="s">
        <v>19</v>
      </c>
      <c r="E31" t="s">
        <v>39</v>
      </c>
      <c r="F31" t="s">
        <v>49</v>
      </c>
      <c r="G31" t="s">
        <v>72</v>
      </c>
      <c r="H31">
        <v>12</v>
      </c>
      <c r="I31">
        <v>85.67</v>
      </c>
      <c r="J31">
        <v>1028.04</v>
      </c>
      <c r="K31">
        <v>60.57</v>
      </c>
      <c r="L31">
        <v>301.2</v>
      </c>
      <c r="M31" t="s">
        <v>75</v>
      </c>
      <c r="N31" t="s">
        <v>80</v>
      </c>
    </row>
    <row r="32" spans="1:14" x14ac:dyDescent="0.3">
      <c r="A32">
        <v>2031</v>
      </c>
      <c r="B32" s="4">
        <v>44676</v>
      </c>
      <c r="C32">
        <v>2022</v>
      </c>
      <c r="D32" t="s">
        <v>14</v>
      </c>
      <c r="E32" t="s">
        <v>30</v>
      </c>
      <c r="F32" t="s">
        <v>57</v>
      </c>
      <c r="G32" t="s">
        <v>73</v>
      </c>
      <c r="H32">
        <v>2</v>
      </c>
      <c r="I32">
        <v>58.48</v>
      </c>
      <c r="J32">
        <v>116.96</v>
      </c>
      <c r="K32">
        <v>39.01</v>
      </c>
      <c r="L32">
        <v>38.94</v>
      </c>
      <c r="M32" t="s">
        <v>75</v>
      </c>
      <c r="N32" t="s">
        <v>77</v>
      </c>
    </row>
    <row r="33" spans="1:14" x14ac:dyDescent="0.3">
      <c r="A33">
        <v>2032</v>
      </c>
      <c r="B33" s="4">
        <v>45438</v>
      </c>
      <c r="C33">
        <v>2024</v>
      </c>
      <c r="D33" t="s">
        <v>22</v>
      </c>
      <c r="E33" t="s">
        <v>38</v>
      </c>
      <c r="F33" t="s">
        <v>60</v>
      </c>
      <c r="G33" t="s">
        <v>73</v>
      </c>
      <c r="H33">
        <v>19</v>
      </c>
      <c r="I33">
        <v>65.41</v>
      </c>
      <c r="J33">
        <v>1242.79</v>
      </c>
      <c r="K33">
        <v>48.52</v>
      </c>
      <c r="L33">
        <v>320.91000000000003</v>
      </c>
      <c r="M33" t="s">
        <v>74</v>
      </c>
      <c r="N33" t="s">
        <v>79</v>
      </c>
    </row>
    <row r="34" spans="1:14" x14ac:dyDescent="0.3">
      <c r="A34">
        <v>2033</v>
      </c>
      <c r="B34" s="4">
        <v>45273</v>
      </c>
      <c r="C34">
        <v>2023</v>
      </c>
      <c r="D34" t="s">
        <v>20</v>
      </c>
      <c r="E34" t="s">
        <v>32</v>
      </c>
      <c r="F34" t="s">
        <v>62</v>
      </c>
      <c r="G34" t="s">
        <v>72</v>
      </c>
      <c r="H34">
        <v>8</v>
      </c>
      <c r="I34">
        <v>176.89</v>
      </c>
      <c r="J34">
        <v>1415.12</v>
      </c>
      <c r="K34">
        <v>144.55000000000001</v>
      </c>
      <c r="L34">
        <v>258.72000000000003</v>
      </c>
      <c r="M34" t="s">
        <v>76</v>
      </c>
      <c r="N34" t="s">
        <v>78</v>
      </c>
    </row>
    <row r="35" spans="1:14" x14ac:dyDescent="0.3">
      <c r="A35">
        <v>2034</v>
      </c>
      <c r="B35" s="4">
        <v>44880</v>
      </c>
      <c r="C35">
        <v>2022</v>
      </c>
      <c r="D35" t="s">
        <v>22</v>
      </c>
      <c r="E35" t="s">
        <v>38</v>
      </c>
      <c r="F35" t="s">
        <v>63</v>
      </c>
      <c r="G35" t="s">
        <v>70</v>
      </c>
      <c r="H35">
        <v>15</v>
      </c>
      <c r="I35">
        <v>98.68</v>
      </c>
      <c r="J35">
        <v>1480.2</v>
      </c>
      <c r="K35">
        <v>84.08</v>
      </c>
      <c r="L35">
        <v>219</v>
      </c>
      <c r="M35" t="s">
        <v>75</v>
      </c>
      <c r="N35" t="s">
        <v>80</v>
      </c>
    </row>
    <row r="36" spans="1:14" x14ac:dyDescent="0.3">
      <c r="A36">
        <v>2035</v>
      </c>
      <c r="B36" s="4">
        <v>45163</v>
      </c>
      <c r="C36">
        <v>2023</v>
      </c>
      <c r="D36" t="s">
        <v>22</v>
      </c>
      <c r="E36" t="s">
        <v>38</v>
      </c>
      <c r="F36" t="s">
        <v>61</v>
      </c>
      <c r="G36" t="s">
        <v>68</v>
      </c>
      <c r="H36">
        <v>7</v>
      </c>
      <c r="I36">
        <v>40.9</v>
      </c>
      <c r="J36">
        <v>286.3</v>
      </c>
      <c r="K36">
        <v>28.14</v>
      </c>
      <c r="L36">
        <v>89.32</v>
      </c>
      <c r="M36" t="s">
        <v>75</v>
      </c>
      <c r="N36" t="s">
        <v>80</v>
      </c>
    </row>
    <row r="37" spans="1:14" x14ac:dyDescent="0.3">
      <c r="A37">
        <v>2036</v>
      </c>
      <c r="B37" s="4">
        <v>45328</v>
      </c>
      <c r="C37">
        <v>2024</v>
      </c>
      <c r="D37" t="s">
        <v>20</v>
      </c>
      <c r="E37" t="s">
        <v>40</v>
      </c>
      <c r="F37" t="s">
        <v>45</v>
      </c>
      <c r="G37" t="s">
        <v>69</v>
      </c>
      <c r="H37">
        <v>14</v>
      </c>
      <c r="I37">
        <v>69.5</v>
      </c>
      <c r="J37">
        <v>973</v>
      </c>
      <c r="K37">
        <v>54.82</v>
      </c>
      <c r="L37">
        <v>205.52</v>
      </c>
      <c r="M37" t="s">
        <v>75</v>
      </c>
      <c r="N37" t="s">
        <v>78</v>
      </c>
    </row>
    <row r="38" spans="1:14" x14ac:dyDescent="0.3">
      <c r="A38">
        <v>2037</v>
      </c>
      <c r="B38" s="4">
        <v>45317</v>
      </c>
      <c r="C38">
        <v>2024</v>
      </c>
      <c r="D38" t="s">
        <v>21</v>
      </c>
      <c r="E38" t="s">
        <v>33</v>
      </c>
      <c r="F38" t="s">
        <v>47</v>
      </c>
      <c r="G38" t="s">
        <v>71</v>
      </c>
      <c r="H38">
        <v>1</v>
      </c>
      <c r="I38">
        <v>190.24</v>
      </c>
      <c r="J38">
        <v>190.24</v>
      </c>
      <c r="K38">
        <v>156.65</v>
      </c>
      <c r="L38">
        <v>33.590000000000003</v>
      </c>
      <c r="M38" t="s">
        <v>76</v>
      </c>
      <c r="N38" t="s">
        <v>77</v>
      </c>
    </row>
    <row r="39" spans="1:14" x14ac:dyDescent="0.3">
      <c r="A39">
        <v>2038</v>
      </c>
      <c r="B39" s="4">
        <v>45256</v>
      </c>
      <c r="C39">
        <v>2023</v>
      </c>
      <c r="D39" t="s">
        <v>22</v>
      </c>
      <c r="E39" t="s">
        <v>36</v>
      </c>
      <c r="F39" t="s">
        <v>60</v>
      </c>
      <c r="G39" t="s">
        <v>73</v>
      </c>
      <c r="H39">
        <v>19</v>
      </c>
      <c r="I39">
        <v>29.48</v>
      </c>
      <c r="J39">
        <v>560.12</v>
      </c>
      <c r="K39">
        <v>19.170000000000002</v>
      </c>
      <c r="L39">
        <v>195.89</v>
      </c>
      <c r="M39" t="s">
        <v>76</v>
      </c>
      <c r="N39" t="s">
        <v>80</v>
      </c>
    </row>
    <row r="40" spans="1:14" x14ac:dyDescent="0.3">
      <c r="A40">
        <v>2039</v>
      </c>
      <c r="B40" s="4">
        <v>45598</v>
      </c>
      <c r="C40">
        <v>2024</v>
      </c>
      <c r="D40" t="s">
        <v>21</v>
      </c>
      <c r="E40" t="s">
        <v>41</v>
      </c>
      <c r="F40" t="s">
        <v>64</v>
      </c>
      <c r="G40" t="s">
        <v>70</v>
      </c>
      <c r="H40">
        <v>5</v>
      </c>
      <c r="I40">
        <v>161.9</v>
      </c>
      <c r="J40">
        <v>809.5</v>
      </c>
      <c r="K40">
        <v>105.62</v>
      </c>
      <c r="L40">
        <v>281.39999999999998</v>
      </c>
      <c r="M40" t="s">
        <v>74</v>
      </c>
      <c r="N40" t="s">
        <v>80</v>
      </c>
    </row>
    <row r="41" spans="1:14" x14ac:dyDescent="0.3">
      <c r="A41">
        <v>2040</v>
      </c>
      <c r="B41" s="4">
        <v>45427</v>
      </c>
      <c r="C41">
        <v>2024</v>
      </c>
      <c r="D41" t="s">
        <v>16</v>
      </c>
      <c r="E41" t="s">
        <v>35</v>
      </c>
      <c r="F41" t="s">
        <v>45</v>
      </c>
      <c r="G41" t="s">
        <v>69</v>
      </c>
      <c r="H41">
        <v>20</v>
      </c>
      <c r="I41">
        <v>138.51</v>
      </c>
      <c r="J41">
        <v>2770.2</v>
      </c>
      <c r="K41">
        <v>115.34</v>
      </c>
      <c r="L41">
        <v>463.4</v>
      </c>
      <c r="M41" t="s">
        <v>75</v>
      </c>
      <c r="N41" t="s">
        <v>77</v>
      </c>
    </row>
    <row r="42" spans="1:14" x14ac:dyDescent="0.3">
      <c r="A42">
        <v>2041</v>
      </c>
      <c r="B42" s="4">
        <v>45089</v>
      </c>
      <c r="C42">
        <v>2023</v>
      </c>
      <c r="D42" t="s">
        <v>23</v>
      </c>
      <c r="E42" t="s">
        <v>37</v>
      </c>
      <c r="F42" t="s">
        <v>44</v>
      </c>
      <c r="G42" t="s">
        <v>68</v>
      </c>
      <c r="H42">
        <v>17</v>
      </c>
      <c r="I42">
        <v>122.32</v>
      </c>
      <c r="J42">
        <v>2079.44</v>
      </c>
      <c r="K42">
        <v>90.99</v>
      </c>
      <c r="L42">
        <v>532.61</v>
      </c>
      <c r="M42" t="s">
        <v>74</v>
      </c>
      <c r="N42" t="s">
        <v>77</v>
      </c>
    </row>
    <row r="43" spans="1:14" x14ac:dyDescent="0.3">
      <c r="A43">
        <v>2042</v>
      </c>
      <c r="B43" s="4">
        <v>45174</v>
      </c>
      <c r="C43">
        <v>2023</v>
      </c>
      <c r="D43" t="s">
        <v>18</v>
      </c>
      <c r="E43" t="s">
        <v>29</v>
      </c>
      <c r="F43" t="s">
        <v>65</v>
      </c>
      <c r="G43" t="s">
        <v>73</v>
      </c>
      <c r="H43">
        <v>18</v>
      </c>
      <c r="I43">
        <v>123.33</v>
      </c>
      <c r="J43">
        <v>2219.94</v>
      </c>
      <c r="K43">
        <v>91.53</v>
      </c>
      <c r="L43">
        <v>572.4</v>
      </c>
      <c r="M43" t="s">
        <v>76</v>
      </c>
      <c r="N43" t="s">
        <v>80</v>
      </c>
    </row>
    <row r="44" spans="1:14" x14ac:dyDescent="0.3">
      <c r="A44">
        <v>2043</v>
      </c>
      <c r="B44" s="4">
        <v>45114</v>
      </c>
      <c r="C44">
        <v>2023</v>
      </c>
      <c r="D44" t="s">
        <v>19</v>
      </c>
      <c r="E44" t="s">
        <v>39</v>
      </c>
      <c r="F44" t="s">
        <v>44</v>
      </c>
      <c r="G44" t="s">
        <v>68</v>
      </c>
      <c r="H44">
        <v>8</v>
      </c>
      <c r="I44">
        <v>127.44</v>
      </c>
      <c r="J44">
        <v>1019.52</v>
      </c>
      <c r="K44">
        <v>108.58</v>
      </c>
      <c r="L44">
        <v>150.88</v>
      </c>
      <c r="M44" t="s">
        <v>76</v>
      </c>
      <c r="N44" t="s">
        <v>79</v>
      </c>
    </row>
    <row r="45" spans="1:14" x14ac:dyDescent="0.3">
      <c r="A45">
        <v>2044</v>
      </c>
      <c r="B45" s="4">
        <v>44944</v>
      </c>
      <c r="C45">
        <v>2023</v>
      </c>
      <c r="D45" t="s">
        <v>15</v>
      </c>
      <c r="E45" t="s">
        <v>25</v>
      </c>
      <c r="F45" t="s">
        <v>48</v>
      </c>
      <c r="G45" t="s">
        <v>68</v>
      </c>
      <c r="H45">
        <v>20</v>
      </c>
      <c r="I45">
        <v>83.42</v>
      </c>
      <c r="J45">
        <v>1668.4</v>
      </c>
      <c r="K45">
        <v>72.64</v>
      </c>
      <c r="L45">
        <v>215.6</v>
      </c>
      <c r="M45" t="s">
        <v>75</v>
      </c>
      <c r="N45" t="s">
        <v>77</v>
      </c>
    </row>
    <row r="46" spans="1:14" x14ac:dyDescent="0.3">
      <c r="A46">
        <v>2045</v>
      </c>
      <c r="B46" s="4">
        <v>44859</v>
      </c>
      <c r="C46">
        <v>2022</v>
      </c>
      <c r="D46" t="s">
        <v>20</v>
      </c>
      <c r="E46" t="s">
        <v>40</v>
      </c>
      <c r="F46" t="s">
        <v>59</v>
      </c>
      <c r="G46" t="s">
        <v>69</v>
      </c>
      <c r="H46">
        <v>15</v>
      </c>
      <c r="I46">
        <v>100.83</v>
      </c>
      <c r="J46">
        <v>1512.45</v>
      </c>
      <c r="K46">
        <v>89.78</v>
      </c>
      <c r="L46">
        <v>165.75</v>
      </c>
      <c r="M46" t="s">
        <v>74</v>
      </c>
      <c r="N46" t="s">
        <v>79</v>
      </c>
    </row>
    <row r="47" spans="1:14" x14ac:dyDescent="0.3">
      <c r="A47">
        <v>2046</v>
      </c>
      <c r="B47" s="4">
        <v>44900</v>
      </c>
      <c r="C47">
        <v>2022</v>
      </c>
      <c r="D47" t="s">
        <v>20</v>
      </c>
      <c r="E47" t="s">
        <v>32</v>
      </c>
      <c r="F47" t="s">
        <v>57</v>
      </c>
      <c r="G47" t="s">
        <v>73</v>
      </c>
      <c r="H47">
        <v>9</v>
      </c>
      <c r="I47">
        <v>197.39</v>
      </c>
      <c r="J47">
        <v>1776.51</v>
      </c>
      <c r="K47">
        <v>148.55000000000001</v>
      </c>
      <c r="L47">
        <v>439.56</v>
      </c>
      <c r="M47" t="s">
        <v>75</v>
      </c>
      <c r="N47" t="s">
        <v>78</v>
      </c>
    </row>
    <row r="48" spans="1:14" x14ac:dyDescent="0.3">
      <c r="A48">
        <v>2047</v>
      </c>
      <c r="B48" s="4">
        <v>45104</v>
      </c>
      <c r="C48">
        <v>2023</v>
      </c>
      <c r="D48" t="s">
        <v>19</v>
      </c>
      <c r="E48" t="s">
        <v>42</v>
      </c>
      <c r="F48" t="s">
        <v>66</v>
      </c>
      <c r="G48" t="s">
        <v>72</v>
      </c>
      <c r="H48">
        <v>20</v>
      </c>
      <c r="I48">
        <v>178.39</v>
      </c>
      <c r="J48">
        <v>3567.8</v>
      </c>
      <c r="K48">
        <v>128.24</v>
      </c>
      <c r="L48">
        <v>1003</v>
      </c>
      <c r="M48" t="s">
        <v>74</v>
      </c>
      <c r="N48" t="s">
        <v>79</v>
      </c>
    </row>
    <row r="49" spans="1:14" x14ac:dyDescent="0.3">
      <c r="A49">
        <v>2048</v>
      </c>
      <c r="B49" s="4">
        <v>45221</v>
      </c>
      <c r="C49">
        <v>2023</v>
      </c>
      <c r="D49" t="s">
        <v>21</v>
      </c>
      <c r="E49" t="s">
        <v>33</v>
      </c>
      <c r="F49" t="s">
        <v>60</v>
      </c>
      <c r="G49" t="s">
        <v>73</v>
      </c>
      <c r="H49">
        <v>18</v>
      </c>
      <c r="I49">
        <v>22.33</v>
      </c>
      <c r="J49">
        <v>401.94</v>
      </c>
      <c r="K49">
        <v>19.59</v>
      </c>
      <c r="L49">
        <v>49.32</v>
      </c>
      <c r="M49" t="s">
        <v>74</v>
      </c>
      <c r="N49" t="s">
        <v>79</v>
      </c>
    </row>
    <row r="50" spans="1:14" x14ac:dyDescent="0.3">
      <c r="A50">
        <v>2049</v>
      </c>
      <c r="B50" s="4">
        <v>45318</v>
      </c>
      <c r="C50">
        <v>2024</v>
      </c>
      <c r="D50" t="s">
        <v>20</v>
      </c>
      <c r="E50" t="s">
        <v>32</v>
      </c>
      <c r="F50" t="s">
        <v>61</v>
      </c>
      <c r="G50" t="s">
        <v>68</v>
      </c>
      <c r="H50">
        <v>8</v>
      </c>
      <c r="I50">
        <v>69.38</v>
      </c>
      <c r="J50">
        <v>555.04</v>
      </c>
      <c r="K50">
        <v>42.52</v>
      </c>
      <c r="L50">
        <v>214.88</v>
      </c>
      <c r="M50" t="s">
        <v>76</v>
      </c>
      <c r="N50" t="s">
        <v>77</v>
      </c>
    </row>
    <row r="51" spans="1:14" x14ac:dyDescent="0.3">
      <c r="A51">
        <v>2050</v>
      </c>
      <c r="B51" s="4">
        <v>45371</v>
      </c>
      <c r="C51">
        <v>2024</v>
      </c>
      <c r="D51" t="s">
        <v>14</v>
      </c>
      <c r="E51" t="s">
        <v>24</v>
      </c>
      <c r="F51" t="s">
        <v>52</v>
      </c>
      <c r="G51" t="s">
        <v>71</v>
      </c>
      <c r="H51">
        <v>5</v>
      </c>
      <c r="I51">
        <v>32.61</v>
      </c>
      <c r="J51">
        <v>163.05000000000001</v>
      </c>
      <c r="K51">
        <v>26.91</v>
      </c>
      <c r="L51">
        <v>28.5</v>
      </c>
      <c r="M51" t="s">
        <v>74</v>
      </c>
      <c r="N51" t="s">
        <v>77</v>
      </c>
    </row>
    <row r="52" spans="1:14" x14ac:dyDescent="0.3">
      <c r="A52">
        <v>2051</v>
      </c>
      <c r="B52" s="4">
        <v>45131</v>
      </c>
      <c r="C52">
        <v>2023</v>
      </c>
      <c r="D52" t="s">
        <v>14</v>
      </c>
      <c r="E52" t="s">
        <v>24</v>
      </c>
      <c r="F52" t="s">
        <v>56</v>
      </c>
      <c r="G52" t="s">
        <v>70</v>
      </c>
      <c r="H52">
        <v>4</v>
      </c>
      <c r="I52">
        <v>149.01</v>
      </c>
      <c r="J52">
        <v>596.04</v>
      </c>
      <c r="K52">
        <v>97.09</v>
      </c>
      <c r="L52">
        <v>207.68</v>
      </c>
      <c r="M52" t="s">
        <v>75</v>
      </c>
      <c r="N52" t="s">
        <v>78</v>
      </c>
    </row>
    <row r="53" spans="1:14" x14ac:dyDescent="0.3">
      <c r="A53">
        <v>2052</v>
      </c>
      <c r="B53" s="4">
        <v>45568</v>
      </c>
      <c r="C53">
        <v>2024</v>
      </c>
      <c r="D53" t="s">
        <v>15</v>
      </c>
      <c r="E53" t="s">
        <v>28</v>
      </c>
      <c r="F53" t="s">
        <v>44</v>
      </c>
      <c r="G53" t="s">
        <v>68</v>
      </c>
      <c r="H53">
        <v>8</v>
      </c>
      <c r="I53">
        <v>105.79</v>
      </c>
      <c r="J53">
        <v>846.32</v>
      </c>
      <c r="K53">
        <v>73.97</v>
      </c>
      <c r="L53">
        <v>254.56</v>
      </c>
      <c r="M53" t="s">
        <v>74</v>
      </c>
      <c r="N53" t="s">
        <v>78</v>
      </c>
    </row>
    <row r="54" spans="1:14" x14ac:dyDescent="0.3">
      <c r="A54">
        <v>2053</v>
      </c>
      <c r="B54" s="4">
        <v>45255</v>
      </c>
      <c r="C54">
        <v>2023</v>
      </c>
      <c r="D54" t="s">
        <v>18</v>
      </c>
      <c r="E54" t="s">
        <v>29</v>
      </c>
      <c r="F54" t="s">
        <v>65</v>
      </c>
      <c r="G54" t="s">
        <v>73</v>
      </c>
      <c r="H54">
        <v>10</v>
      </c>
      <c r="I54">
        <v>92.22</v>
      </c>
      <c r="J54">
        <v>922.2</v>
      </c>
      <c r="K54">
        <v>57.31</v>
      </c>
      <c r="L54">
        <v>349.1</v>
      </c>
      <c r="M54" t="s">
        <v>75</v>
      </c>
      <c r="N54" t="s">
        <v>77</v>
      </c>
    </row>
    <row r="55" spans="1:14" x14ac:dyDescent="0.3">
      <c r="A55">
        <v>2054</v>
      </c>
      <c r="B55" s="4">
        <v>44579</v>
      </c>
      <c r="C55">
        <v>2022</v>
      </c>
      <c r="D55" t="s">
        <v>23</v>
      </c>
      <c r="E55" t="s">
        <v>37</v>
      </c>
      <c r="F55" t="s">
        <v>53</v>
      </c>
      <c r="G55" t="s">
        <v>69</v>
      </c>
      <c r="H55">
        <v>5</v>
      </c>
      <c r="I55">
        <v>36.92</v>
      </c>
      <c r="J55">
        <v>184.6</v>
      </c>
      <c r="K55">
        <v>22.66</v>
      </c>
      <c r="L55">
        <v>71.3</v>
      </c>
      <c r="M55" t="s">
        <v>74</v>
      </c>
      <c r="N55" t="s">
        <v>77</v>
      </c>
    </row>
    <row r="56" spans="1:14" x14ac:dyDescent="0.3">
      <c r="A56">
        <v>2055</v>
      </c>
      <c r="B56" s="4">
        <v>45467</v>
      </c>
      <c r="C56">
        <v>2024</v>
      </c>
      <c r="D56" t="s">
        <v>23</v>
      </c>
      <c r="E56" t="s">
        <v>43</v>
      </c>
      <c r="F56" t="s">
        <v>59</v>
      </c>
      <c r="G56" t="s">
        <v>69</v>
      </c>
      <c r="H56">
        <v>13</v>
      </c>
      <c r="I56">
        <v>193.79</v>
      </c>
      <c r="J56">
        <v>2519.27</v>
      </c>
      <c r="K56">
        <v>167.18</v>
      </c>
      <c r="L56">
        <v>345.93</v>
      </c>
      <c r="M56" t="s">
        <v>76</v>
      </c>
      <c r="N56" t="s">
        <v>78</v>
      </c>
    </row>
    <row r="57" spans="1:14" x14ac:dyDescent="0.3">
      <c r="A57">
        <v>2056</v>
      </c>
      <c r="B57" s="4">
        <v>44609</v>
      </c>
      <c r="C57">
        <v>2022</v>
      </c>
      <c r="D57" t="s">
        <v>22</v>
      </c>
      <c r="E57" t="s">
        <v>38</v>
      </c>
      <c r="F57" t="s">
        <v>61</v>
      </c>
      <c r="G57" t="s">
        <v>68</v>
      </c>
      <c r="H57">
        <v>10</v>
      </c>
      <c r="I57">
        <v>60.07</v>
      </c>
      <c r="J57">
        <v>600.70000000000005</v>
      </c>
      <c r="K57">
        <v>44.19</v>
      </c>
      <c r="L57">
        <v>158.80000000000001</v>
      </c>
      <c r="M57" t="s">
        <v>75</v>
      </c>
      <c r="N57" t="s">
        <v>78</v>
      </c>
    </row>
    <row r="58" spans="1:14" x14ac:dyDescent="0.3">
      <c r="A58">
        <v>2057</v>
      </c>
      <c r="B58" s="4">
        <v>45387</v>
      </c>
      <c r="C58">
        <v>2024</v>
      </c>
      <c r="D58" t="s">
        <v>15</v>
      </c>
      <c r="E58" t="s">
        <v>25</v>
      </c>
      <c r="F58" t="s">
        <v>46</v>
      </c>
      <c r="G58" t="s">
        <v>70</v>
      </c>
      <c r="H58">
        <v>4</v>
      </c>
      <c r="I58">
        <v>20.66</v>
      </c>
      <c r="J58">
        <v>82.64</v>
      </c>
      <c r="K58">
        <v>14.6</v>
      </c>
      <c r="L58">
        <v>24.24</v>
      </c>
      <c r="M58" t="s">
        <v>76</v>
      </c>
      <c r="N58" t="s">
        <v>78</v>
      </c>
    </row>
    <row r="59" spans="1:14" x14ac:dyDescent="0.3">
      <c r="A59">
        <v>2058</v>
      </c>
      <c r="B59" s="4">
        <v>44766</v>
      </c>
      <c r="C59">
        <v>2022</v>
      </c>
      <c r="D59" t="s">
        <v>15</v>
      </c>
      <c r="E59" t="s">
        <v>25</v>
      </c>
      <c r="F59" t="s">
        <v>47</v>
      </c>
      <c r="G59" t="s">
        <v>71</v>
      </c>
      <c r="H59">
        <v>14</v>
      </c>
      <c r="I59">
        <v>184.04</v>
      </c>
      <c r="J59">
        <v>2576.56</v>
      </c>
      <c r="K59">
        <v>132.69999999999999</v>
      </c>
      <c r="L59">
        <v>718.76</v>
      </c>
      <c r="M59" t="s">
        <v>75</v>
      </c>
      <c r="N59" t="s">
        <v>78</v>
      </c>
    </row>
    <row r="60" spans="1:14" x14ac:dyDescent="0.3">
      <c r="A60">
        <v>2059</v>
      </c>
      <c r="B60" s="4">
        <v>45006</v>
      </c>
      <c r="C60">
        <v>2023</v>
      </c>
      <c r="D60" t="s">
        <v>15</v>
      </c>
      <c r="E60" t="s">
        <v>28</v>
      </c>
      <c r="F60" t="s">
        <v>61</v>
      </c>
      <c r="G60" t="s">
        <v>68</v>
      </c>
      <c r="H60">
        <v>1</v>
      </c>
      <c r="I60">
        <v>150.82</v>
      </c>
      <c r="J60">
        <v>150.82</v>
      </c>
      <c r="K60">
        <v>132.32</v>
      </c>
      <c r="L60">
        <v>18.5</v>
      </c>
      <c r="M60" t="s">
        <v>75</v>
      </c>
      <c r="N60" t="s">
        <v>77</v>
      </c>
    </row>
    <row r="61" spans="1:14" x14ac:dyDescent="0.3">
      <c r="A61">
        <v>2060</v>
      </c>
      <c r="B61" s="4">
        <v>45182</v>
      </c>
      <c r="C61">
        <v>2023</v>
      </c>
      <c r="D61" t="s">
        <v>21</v>
      </c>
      <c r="E61" t="s">
        <v>33</v>
      </c>
      <c r="F61" t="s">
        <v>64</v>
      </c>
      <c r="G61" t="s">
        <v>70</v>
      </c>
      <c r="H61">
        <v>8</v>
      </c>
      <c r="I61">
        <v>113.7</v>
      </c>
      <c r="J61">
        <v>909.6</v>
      </c>
      <c r="K61">
        <v>87.82</v>
      </c>
      <c r="L61">
        <v>207.04</v>
      </c>
      <c r="M61" t="s">
        <v>74</v>
      </c>
      <c r="N61" t="s">
        <v>77</v>
      </c>
    </row>
    <row r="62" spans="1:14" x14ac:dyDescent="0.3">
      <c r="A62">
        <v>2061</v>
      </c>
      <c r="B62" s="4">
        <v>44770</v>
      </c>
      <c r="C62">
        <v>2022</v>
      </c>
      <c r="D62" t="s">
        <v>23</v>
      </c>
      <c r="E62" t="s">
        <v>43</v>
      </c>
      <c r="F62" t="s">
        <v>60</v>
      </c>
      <c r="G62" t="s">
        <v>73</v>
      </c>
      <c r="H62">
        <v>11</v>
      </c>
      <c r="I62">
        <v>160</v>
      </c>
      <c r="J62">
        <v>1760</v>
      </c>
      <c r="K62">
        <v>117.71</v>
      </c>
      <c r="L62">
        <v>465.19</v>
      </c>
      <c r="M62" t="s">
        <v>75</v>
      </c>
      <c r="N62" t="s">
        <v>80</v>
      </c>
    </row>
    <row r="63" spans="1:14" x14ac:dyDescent="0.3">
      <c r="A63">
        <v>2062</v>
      </c>
      <c r="B63" s="4">
        <v>44707</v>
      </c>
      <c r="C63">
        <v>2022</v>
      </c>
      <c r="D63" t="s">
        <v>19</v>
      </c>
      <c r="E63" t="s">
        <v>31</v>
      </c>
      <c r="F63" t="s">
        <v>52</v>
      </c>
      <c r="G63" t="s">
        <v>71</v>
      </c>
      <c r="H63">
        <v>17</v>
      </c>
      <c r="I63">
        <v>150.96</v>
      </c>
      <c r="J63">
        <v>2566.3200000000002</v>
      </c>
      <c r="K63">
        <v>100.26</v>
      </c>
      <c r="L63">
        <v>861.9</v>
      </c>
      <c r="M63" t="s">
        <v>75</v>
      </c>
      <c r="N63" t="s">
        <v>79</v>
      </c>
    </row>
    <row r="64" spans="1:14" x14ac:dyDescent="0.3">
      <c r="A64">
        <v>2063</v>
      </c>
      <c r="B64" s="4">
        <v>44769</v>
      </c>
      <c r="C64">
        <v>2022</v>
      </c>
      <c r="D64" t="s">
        <v>23</v>
      </c>
      <c r="E64" t="s">
        <v>37</v>
      </c>
      <c r="F64" t="s">
        <v>64</v>
      </c>
      <c r="G64" t="s">
        <v>70</v>
      </c>
      <c r="H64">
        <v>11</v>
      </c>
      <c r="I64">
        <v>176.82</v>
      </c>
      <c r="J64">
        <v>1945.02</v>
      </c>
      <c r="K64">
        <v>148.04</v>
      </c>
      <c r="L64">
        <v>316.58</v>
      </c>
      <c r="M64" t="s">
        <v>74</v>
      </c>
      <c r="N64" t="s">
        <v>79</v>
      </c>
    </row>
    <row r="65" spans="1:14" x14ac:dyDescent="0.3">
      <c r="A65">
        <v>2064</v>
      </c>
      <c r="B65" s="4">
        <v>44947</v>
      </c>
      <c r="C65">
        <v>2023</v>
      </c>
      <c r="D65" t="s">
        <v>20</v>
      </c>
      <c r="E65" t="s">
        <v>40</v>
      </c>
      <c r="F65" t="s">
        <v>47</v>
      </c>
      <c r="G65" t="s">
        <v>71</v>
      </c>
      <c r="H65">
        <v>1</v>
      </c>
      <c r="I65">
        <v>144.97999999999999</v>
      </c>
      <c r="J65">
        <v>144.97999999999999</v>
      </c>
      <c r="K65">
        <v>97.58</v>
      </c>
      <c r="L65">
        <v>47.4</v>
      </c>
      <c r="M65" t="s">
        <v>74</v>
      </c>
      <c r="N65" t="s">
        <v>79</v>
      </c>
    </row>
    <row r="66" spans="1:14" x14ac:dyDescent="0.3">
      <c r="A66">
        <v>2065</v>
      </c>
      <c r="B66" s="4">
        <v>45336</v>
      </c>
      <c r="C66">
        <v>2024</v>
      </c>
      <c r="D66" t="s">
        <v>14</v>
      </c>
      <c r="E66" t="s">
        <v>30</v>
      </c>
      <c r="F66" t="s">
        <v>65</v>
      </c>
      <c r="G66" t="s">
        <v>73</v>
      </c>
      <c r="H66">
        <v>17</v>
      </c>
      <c r="I66">
        <v>194.4</v>
      </c>
      <c r="J66">
        <v>3304.8</v>
      </c>
      <c r="K66">
        <v>118.12</v>
      </c>
      <c r="L66">
        <v>1296.76</v>
      </c>
      <c r="M66" t="s">
        <v>76</v>
      </c>
      <c r="N66" t="s">
        <v>80</v>
      </c>
    </row>
    <row r="67" spans="1:14" x14ac:dyDescent="0.3">
      <c r="A67">
        <v>2066</v>
      </c>
      <c r="B67" s="4">
        <v>45147</v>
      </c>
      <c r="C67">
        <v>2023</v>
      </c>
      <c r="D67" t="s">
        <v>20</v>
      </c>
      <c r="E67" t="s">
        <v>32</v>
      </c>
      <c r="F67" t="s">
        <v>64</v>
      </c>
      <c r="G67" t="s">
        <v>70</v>
      </c>
      <c r="H67">
        <v>2</v>
      </c>
      <c r="I67">
        <v>35.840000000000003</v>
      </c>
      <c r="J67">
        <v>71.680000000000007</v>
      </c>
      <c r="K67">
        <v>28.06</v>
      </c>
      <c r="L67">
        <v>15.56</v>
      </c>
      <c r="M67" t="s">
        <v>75</v>
      </c>
      <c r="N67" t="s">
        <v>80</v>
      </c>
    </row>
    <row r="68" spans="1:14" x14ac:dyDescent="0.3">
      <c r="A68">
        <v>2067</v>
      </c>
      <c r="B68" s="4">
        <v>44682</v>
      </c>
      <c r="C68">
        <v>2022</v>
      </c>
      <c r="D68" t="s">
        <v>15</v>
      </c>
      <c r="E68" t="s">
        <v>25</v>
      </c>
      <c r="F68" t="s">
        <v>57</v>
      </c>
      <c r="G68" t="s">
        <v>73</v>
      </c>
      <c r="H68">
        <v>19</v>
      </c>
      <c r="I68">
        <v>133.91999999999999</v>
      </c>
      <c r="J68">
        <v>2544.48</v>
      </c>
      <c r="K68">
        <v>104.86</v>
      </c>
      <c r="L68">
        <v>552.14</v>
      </c>
      <c r="M68" t="s">
        <v>75</v>
      </c>
      <c r="N68" t="s">
        <v>78</v>
      </c>
    </row>
    <row r="69" spans="1:14" x14ac:dyDescent="0.3">
      <c r="A69">
        <v>2068</v>
      </c>
      <c r="B69" s="4">
        <v>45345</v>
      </c>
      <c r="C69">
        <v>2024</v>
      </c>
      <c r="D69" t="s">
        <v>18</v>
      </c>
      <c r="E69" t="s">
        <v>29</v>
      </c>
      <c r="F69" t="s">
        <v>47</v>
      </c>
      <c r="G69" t="s">
        <v>71</v>
      </c>
      <c r="H69">
        <v>2</v>
      </c>
      <c r="I69">
        <v>100</v>
      </c>
      <c r="J69">
        <v>200</v>
      </c>
      <c r="K69">
        <v>62.57</v>
      </c>
      <c r="L69">
        <v>74.86</v>
      </c>
      <c r="M69" t="s">
        <v>74</v>
      </c>
      <c r="N69" t="s">
        <v>78</v>
      </c>
    </row>
    <row r="70" spans="1:14" x14ac:dyDescent="0.3">
      <c r="A70">
        <v>2069</v>
      </c>
      <c r="B70" s="4">
        <v>44853</v>
      </c>
      <c r="C70">
        <v>2022</v>
      </c>
      <c r="D70" t="s">
        <v>17</v>
      </c>
      <c r="E70" t="s">
        <v>34</v>
      </c>
      <c r="F70" t="s">
        <v>57</v>
      </c>
      <c r="G70" t="s">
        <v>73</v>
      </c>
      <c r="H70">
        <v>7</v>
      </c>
      <c r="I70">
        <v>57.47</v>
      </c>
      <c r="J70">
        <v>402.29</v>
      </c>
      <c r="K70">
        <v>44.33</v>
      </c>
      <c r="L70">
        <v>91.98</v>
      </c>
      <c r="M70" t="s">
        <v>76</v>
      </c>
      <c r="N70" t="s">
        <v>77</v>
      </c>
    </row>
    <row r="71" spans="1:14" x14ac:dyDescent="0.3">
      <c r="A71">
        <v>2070</v>
      </c>
      <c r="B71" s="4">
        <v>45177</v>
      </c>
      <c r="C71">
        <v>2023</v>
      </c>
      <c r="D71" t="s">
        <v>19</v>
      </c>
      <c r="E71" t="s">
        <v>42</v>
      </c>
      <c r="F71" t="s">
        <v>65</v>
      </c>
      <c r="G71" t="s">
        <v>73</v>
      </c>
      <c r="H71">
        <v>1</v>
      </c>
      <c r="I71">
        <v>82.21</v>
      </c>
      <c r="J71">
        <v>82.21</v>
      </c>
      <c r="K71">
        <v>55.05</v>
      </c>
      <c r="L71">
        <v>27.16</v>
      </c>
      <c r="M71" t="s">
        <v>74</v>
      </c>
      <c r="N71" t="s">
        <v>80</v>
      </c>
    </row>
    <row r="72" spans="1:14" x14ac:dyDescent="0.3">
      <c r="A72">
        <v>2071</v>
      </c>
      <c r="B72" s="4">
        <v>45436</v>
      </c>
      <c r="C72">
        <v>2024</v>
      </c>
      <c r="D72" t="s">
        <v>16</v>
      </c>
      <c r="E72" t="s">
        <v>26</v>
      </c>
      <c r="F72" t="s">
        <v>47</v>
      </c>
      <c r="G72" t="s">
        <v>71</v>
      </c>
      <c r="H72">
        <v>6</v>
      </c>
      <c r="I72">
        <v>134.04</v>
      </c>
      <c r="J72">
        <v>804.24</v>
      </c>
      <c r="K72">
        <v>110.45</v>
      </c>
      <c r="L72">
        <v>141.54</v>
      </c>
      <c r="M72" t="s">
        <v>76</v>
      </c>
      <c r="N72" t="s">
        <v>79</v>
      </c>
    </row>
    <row r="73" spans="1:14" x14ac:dyDescent="0.3">
      <c r="A73">
        <v>2072</v>
      </c>
      <c r="B73" s="4">
        <v>44575</v>
      </c>
      <c r="C73">
        <v>2022</v>
      </c>
      <c r="D73" t="s">
        <v>16</v>
      </c>
      <c r="E73" t="s">
        <v>35</v>
      </c>
      <c r="F73" t="s">
        <v>67</v>
      </c>
      <c r="G73" t="s">
        <v>71</v>
      </c>
      <c r="H73">
        <v>5</v>
      </c>
      <c r="I73">
        <v>168.55</v>
      </c>
      <c r="J73">
        <v>842.75</v>
      </c>
      <c r="K73">
        <v>138.34</v>
      </c>
      <c r="L73">
        <v>151.05000000000001</v>
      </c>
      <c r="M73" t="s">
        <v>74</v>
      </c>
      <c r="N73" t="s">
        <v>78</v>
      </c>
    </row>
    <row r="74" spans="1:14" x14ac:dyDescent="0.3">
      <c r="A74">
        <v>2073</v>
      </c>
      <c r="B74" s="4">
        <v>44661</v>
      </c>
      <c r="C74">
        <v>2022</v>
      </c>
      <c r="D74" t="s">
        <v>22</v>
      </c>
      <c r="E74" t="s">
        <v>38</v>
      </c>
      <c r="F74" t="s">
        <v>55</v>
      </c>
      <c r="G74" t="s">
        <v>71</v>
      </c>
      <c r="H74">
        <v>18</v>
      </c>
      <c r="I74">
        <v>79.92</v>
      </c>
      <c r="J74">
        <v>1438.56</v>
      </c>
      <c r="K74">
        <v>59.15</v>
      </c>
      <c r="L74">
        <v>373.86</v>
      </c>
      <c r="M74" t="s">
        <v>74</v>
      </c>
      <c r="N74" t="s">
        <v>80</v>
      </c>
    </row>
    <row r="75" spans="1:14" x14ac:dyDescent="0.3">
      <c r="A75">
        <v>2074</v>
      </c>
      <c r="B75" s="4">
        <v>44729</v>
      </c>
      <c r="C75">
        <v>2022</v>
      </c>
      <c r="D75" t="s">
        <v>20</v>
      </c>
      <c r="E75" t="s">
        <v>40</v>
      </c>
      <c r="F75" t="s">
        <v>67</v>
      </c>
      <c r="G75" t="s">
        <v>71</v>
      </c>
      <c r="H75">
        <v>11</v>
      </c>
      <c r="I75">
        <v>107.38</v>
      </c>
      <c r="J75">
        <v>1181.18</v>
      </c>
      <c r="K75">
        <v>83.53</v>
      </c>
      <c r="L75">
        <v>262.35000000000002</v>
      </c>
      <c r="M75" t="s">
        <v>74</v>
      </c>
      <c r="N75" t="s">
        <v>79</v>
      </c>
    </row>
    <row r="76" spans="1:14" x14ac:dyDescent="0.3">
      <c r="A76">
        <v>2075</v>
      </c>
      <c r="B76" s="4">
        <v>45513</v>
      </c>
      <c r="C76">
        <v>2024</v>
      </c>
      <c r="D76" t="s">
        <v>20</v>
      </c>
      <c r="E76" t="s">
        <v>32</v>
      </c>
      <c r="F76" t="s">
        <v>58</v>
      </c>
      <c r="G76" t="s">
        <v>68</v>
      </c>
      <c r="H76">
        <v>6</v>
      </c>
      <c r="I76">
        <v>118.17</v>
      </c>
      <c r="J76">
        <v>709.02</v>
      </c>
      <c r="K76">
        <v>104.94</v>
      </c>
      <c r="L76">
        <v>79.38</v>
      </c>
      <c r="M76" t="s">
        <v>74</v>
      </c>
      <c r="N76" t="s">
        <v>77</v>
      </c>
    </row>
    <row r="77" spans="1:14" x14ac:dyDescent="0.3">
      <c r="A77">
        <v>2076</v>
      </c>
      <c r="B77" s="4">
        <v>45222</v>
      </c>
      <c r="C77">
        <v>2023</v>
      </c>
      <c r="D77" t="s">
        <v>18</v>
      </c>
      <c r="E77" t="s">
        <v>29</v>
      </c>
      <c r="F77" t="s">
        <v>64</v>
      </c>
      <c r="G77" t="s">
        <v>70</v>
      </c>
      <c r="H77">
        <v>9</v>
      </c>
      <c r="I77">
        <v>73.34</v>
      </c>
      <c r="J77">
        <v>660.06</v>
      </c>
      <c r="K77">
        <v>48.85</v>
      </c>
      <c r="L77">
        <v>220.41</v>
      </c>
      <c r="M77" t="s">
        <v>75</v>
      </c>
      <c r="N77" t="s">
        <v>78</v>
      </c>
    </row>
    <row r="78" spans="1:14" x14ac:dyDescent="0.3">
      <c r="A78">
        <v>2077</v>
      </c>
      <c r="B78" s="4">
        <v>45619</v>
      </c>
      <c r="C78">
        <v>2024</v>
      </c>
      <c r="D78" t="s">
        <v>20</v>
      </c>
      <c r="E78" t="s">
        <v>32</v>
      </c>
      <c r="F78" t="s">
        <v>65</v>
      </c>
      <c r="G78" t="s">
        <v>73</v>
      </c>
      <c r="H78">
        <v>12</v>
      </c>
      <c r="I78">
        <v>140.58000000000001</v>
      </c>
      <c r="J78">
        <v>1686.96</v>
      </c>
      <c r="K78">
        <v>92.9</v>
      </c>
      <c r="L78">
        <v>572.16</v>
      </c>
      <c r="M78" t="s">
        <v>75</v>
      </c>
      <c r="N78" t="s">
        <v>79</v>
      </c>
    </row>
    <row r="79" spans="1:14" x14ac:dyDescent="0.3">
      <c r="A79">
        <v>2078</v>
      </c>
      <c r="B79" s="4">
        <v>44570</v>
      </c>
      <c r="C79">
        <v>2022</v>
      </c>
      <c r="D79" t="s">
        <v>20</v>
      </c>
      <c r="E79" t="s">
        <v>40</v>
      </c>
      <c r="F79" t="s">
        <v>51</v>
      </c>
      <c r="G79" t="s">
        <v>69</v>
      </c>
      <c r="H79">
        <v>20</v>
      </c>
      <c r="I79">
        <v>102.38</v>
      </c>
      <c r="J79">
        <v>2047.6</v>
      </c>
      <c r="K79">
        <v>88.56</v>
      </c>
      <c r="L79">
        <v>276.39999999999998</v>
      </c>
      <c r="M79" t="s">
        <v>76</v>
      </c>
      <c r="N79" t="s">
        <v>78</v>
      </c>
    </row>
    <row r="80" spans="1:14" x14ac:dyDescent="0.3">
      <c r="A80">
        <v>2079</v>
      </c>
      <c r="B80" s="4">
        <v>44997</v>
      </c>
      <c r="C80">
        <v>2023</v>
      </c>
      <c r="D80" t="s">
        <v>19</v>
      </c>
      <c r="E80" t="s">
        <v>39</v>
      </c>
      <c r="F80" t="s">
        <v>64</v>
      </c>
      <c r="G80" t="s">
        <v>70</v>
      </c>
      <c r="H80">
        <v>17</v>
      </c>
      <c r="I80">
        <v>149.04</v>
      </c>
      <c r="J80">
        <v>2533.6799999999998</v>
      </c>
      <c r="K80">
        <v>129.97999999999999</v>
      </c>
      <c r="L80">
        <v>324.02</v>
      </c>
      <c r="M80" t="s">
        <v>76</v>
      </c>
      <c r="N80" t="s">
        <v>80</v>
      </c>
    </row>
    <row r="81" spans="1:14" x14ac:dyDescent="0.3">
      <c r="A81">
        <v>2080</v>
      </c>
      <c r="B81" s="4">
        <v>44842</v>
      </c>
      <c r="C81">
        <v>2022</v>
      </c>
      <c r="D81" t="s">
        <v>18</v>
      </c>
      <c r="E81" t="s">
        <v>29</v>
      </c>
      <c r="F81" t="s">
        <v>56</v>
      </c>
      <c r="G81" t="s">
        <v>70</v>
      </c>
      <c r="H81">
        <v>17</v>
      </c>
      <c r="I81">
        <v>67.849999999999994</v>
      </c>
      <c r="J81">
        <v>1153.45</v>
      </c>
      <c r="K81">
        <v>45.03</v>
      </c>
      <c r="L81">
        <v>387.94</v>
      </c>
      <c r="M81" t="s">
        <v>74</v>
      </c>
      <c r="N81" t="s">
        <v>78</v>
      </c>
    </row>
    <row r="82" spans="1:14" x14ac:dyDescent="0.3">
      <c r="A82">
        <v>2081</v>
      </c>
      <c r="B82" s="4">
        <v>45209</v>
      </c>
      <c r="C82">
        <v>2023</v>
      </c>
      <c r="D82" t="s">
        <v>20</v>
      </c>
      <c r="E82" t="s">
        <v>32</v>
      </c>
      <c r="F82" t="s">
        <v>53</v>
      </c>
      <c r="G82" t="s">
        <v>69</v>
      </c>
      <c r="H82">
        <v>16</v>
      </c>
      <c r="I82">
        <v>146.55000000000001</v>
      </c>
      <c r="J82">
        <v>2344.8000000000002</v>
      </c>
      <c r="K82">
        <v>94.7</v>
      </c>
      <c r="L82">
        <v>829.6</v>
      </c>
      <c r="M82" t="s">
        <v>74</v>
      </c>
      <c r="N82" t="s">
        <v>78</v>
      </c>
    </row>
    <row r="83" spans="1:14" x14ac:dyDescent="0.3">
      <c r="A83">
        <v>2082</v>
      </c>
      <c r="B83" s="4">
        <v>45347</v>
      </c>
      <c r="C83">
        <v>2024</v>
      </c>
      <c r="D83" t="s">
        <v>21</v>
      </c>
      <c r="E83" t="s">
        <v>41</v>
      </c>
      <c r="F83" t="s">
        <v>66</v>
      </c>
      <c r="G83" t="s">
        <v>72</v>
      </c>
      <c r="H83">
        <v>7</v>
      </c>
      <c r="I83">
        <v>35.450000000000003</v>
      </c>
      <c r="J83">
        <v>248.15</v>
      </c>
      <c r="K83">
        <v>25.75</v>
      </c>
      <c r="L83">
        <v>67.900000000000006</v>
      </c>
      <c r="M83" t="s">
        <v>74</v>
      </c>
      <c r="N83" t="s">
        <v>77</v>
      </c>
    </row>
    <row r="84" spans="1:14" x14ac:dyDescent="0.3">
      <c r="A84">
        <v>2083</v>
      </c>
      <c r="B84" s="4">
        <v>44684</v>
      </c>
      <c r="C84">
        <v>2022</v>
      </c>
      <c r="D84" t="s">
        <v>22</v>
      </c>
      <c r="E84" t="s">
        <v>36</v>
      </c>
      <c r="F84" t="s">
        <v>47</v>
      </c>
      <c r="G84" t="s">
        <v>71</v>
      </c>
      <c r="H84">
        <v>4</v>
      </c>
      <c r="I84">
        <v>99.28</v>
      </c>
      <c r="J84">
        <v>397.12</v>
      </c>
      <c r="K84">
        <v>82.24</v>
      </c>
      <c r="L84">
        <v>68.16</v>
      </c>
      <c r="M84" t="s">
        <v>75</v>
      </c>
      <c r="N84" t="s">
        <v>79</v>
      </c>
    </row>
    <row r="85" spans="1:14" x14ac:dyDescent="0.3">
      <c r="A85">
        <v>2084</v>
      </c>
      <c r="B85" s="4">
        <v>45301</v>
      </c>
      <c r="C85">
        <v>2024</v>
      </c>
      <c r="D85" t="s">
        <v>15</v>
      </c>
      <c r="E85" t="s">
        <v>28</v>
      </c>
      <c r="F85" t="s">
        <v>57</v>
      </c>
      <c r="G85" t="s">
        <v>73</v>
      </c>
      <c r="H85">
        <v>8</v>
      </c>
      <c r="I85">
        <v>134.56</v>
      </c>
      <c r="J85">
        <v>1076.48</v>
      </c>
      <c r="K85">
        <v>118.79</v>
      </c>
      <c r="L85">
        <v>126.16</v>
      </c>
      <c r="M85" t="s">
        <v>75</v>
      </c>
      <c r="N85" t="s">
        <v>79</v>
      </c>
    </row>
    <row r="86" spans="1:14" x14ac:dyDescent="0.3">
      <c r="A86">
        <v>2085</v>
      </c>
      <c r="B86" s="4">
        <v>44792</v>
      </c>
      <c r="C86">
        <v>2022</v>
      </c>
      <c r="D86" t="s">
        <v>15</v>
      </c>
      <c r="E86" t="s">
        <v>25</v>
      </c>
      <c r="F86" t="s">
        <v>60</v>
      </c>
      <c r="G86" t="s">
        <v>73</v>
      </c>
      <c r="H86">
        <v>7</v>
      </c>
      <c r="I86">
        <v>125.34</v>
      </c>
      <c r="J86">
        <v>877.38</v>
      </c>
      <c r="K86">
        <v>86.85</v>
      </c>
      <c r="L86">
        <v>269.43</v>
      </c>
      <c r="M86" t="s">
        <v>76</v>
      </c>
      <c r="N86" t="s">
        <v>78</v>
      </c>
    </row>
    <row r="87" spans="1:14" x14ac:dyDescent="0.3">
      <c r="A87">
        <v>2086</v>
      </c>
      <c r="B87" s="4">
        <v>45307</v>
      </c>
      <c r="C87">
        <v>2024</v>
      </c>
      <c r="D87" t="s">
        <v>14</v>
      </c>
      <c r="E87" t="s">
        <v>24</v>
      </c>
      <c r="F87" t="s">
        <v>47</v>
      </c>
      <c r="G87" t="s">
        <v>71</v>
      </c>
      <c r="H87">
        <v>6</v>
      </c>
      <c r="I87">
        <v>110.43</v>
      </c>
      <c r="J87">
        <v>662.58</v>
      </c>
      <c r="K87">
        <v>98.36</v>
      </c>
      <c r="L87">
        <v>72.42</v>
      </c>
      <c r="M87" t="s">
        <v>75</v>
      </c>
      <c r="N87" t="s">
        <v>79</v>
      </c>
    </row>
    <row r="88" spans="1:14" x14ac:dyDescent="0.3">
      <c r="A88">
        <v>2087</v>
      </c>
      <c r="B88" s="4">
        <v>45455</v>
      </c>
      <c r="C88">
        <v>2024</v>
      </c>
      <c r="D88" t="s">
        <v>23</v>
      </c>
      <c r="E88" t="s">
        <v>43</v>
      </c>
      <c r="F88" t="s">
        <v>49</v>
      </c>
      <c r="G88" t="s">
        <v>72</v>
      </c>
      <c r="H88">
        <v>7</v>
      </c>
      <c r="I88">
        <v>160.88999999999999</v>
      </c>
      <c r="J88">
        <v>1126.23</v>
      </c>
      <c r="K88">
        <v>121.68</v>
      </c>
      <c r="L88">
        <v>274.47000000000003</v>
      </c>
      <c r="M88" t="s">
        <v>74</v>
      </c>
      <c r="N88" t="s">
        <v>79</v>
      </c>
    </row>
    <row r="89" spans="1:14" x14ac:dyDescent="0.3">
      <c r="A89">
        <v>2088</v>
      </c>
      <c r="B89" s="4">
        <v>45434</v>
      </c>
      <c r="C89">
        <v>2024</v>
      </c>
      <c r="D89" t="s">
        <v>17</v>
      </c>
      <c r="E89" t="s">
        <v>27</v>
      </c>
      <c r="F89" t="s">
        <v>62</v>
      </c>
      <c r="G89" t="s">
        <v>72</v>
      </c>
      <c r="H89">
        <v>12</v>
      </c>
      <c r="I89">
        <v>57.83</v>
      </c>
      <c r="J89">
        <v>693.96</v>
      </c>
      <c r="K89">
        <v>49.66</v>
      </c>
      <c r="L89">
        <v>98.04</v>
      </c>
      <c r="M89" t="s">
        <v>76</v>
      </c>
      <c r="N89" t="s">
        <v>78</v>
      </c>
    </row>
    <row r="90" spans="1:14" x14ac:dyDescent="0.3">
      <c r="A90">
        <v>2089</v>
      </c>
      <c r="B90" s="4">
        <v>45641</v>
      </c>
      <c r="C90">
        <v>2024</v>
      </c>
      <c r="D90" t="s">
        <v>22</v>
      </c>
      <c r="E90" t="s">
        <v>38</v>
      </c>
      <c r="F90" t="s">
        <v>66</v>
      </c>
      <c r="G90" t="s">
        <v>72</v>
      </c>
      <c r="H90">
        <v>2</v>
      </c>
      <c r="I90">
        <v>112.24</v>
      </c>
      <c r="J90">
        <v>224.48</v>
      </c>
      <c r="K90">
        <v>68.290000000000006</v>
      </c>
      <c r="L90">
        <v>87.9</v>
      </c>
      <c r="M90" t="s">
        <v>75</v>
      </c>
      <c r="N90" t="s">
        <v>79</v>
      </c>
    </row>
    <row r="91" spans="1:14" x14ac:dyDescent="0.3">
      <c r="A91">
        <v>2090</v>
      </c>
      <c r="B91" s="4">
        <v>45355</v>
      </c>
      <c r="C91">
        <v>2024</v>
      </c>
      <c r="D91" t="s">
        <v>22</v>
      </c>
      <c r="E91" t="s">
        <v>36</v>
      </c>
      <c r="F91" t="s">
        <v>63</v>
      </c>
      <c r="G91" t="s">
        <v>70</v>
      </c>
      <c r="H91">
        <v>19</v>
      </c>
      <c r="I91">
        <v>40.97</v>
      </c>
      <c r="J91">
        <v>778.43</v>
      </c>
      <c r="K91">
        <v>26.63</v>
      </c>
      <c r="L91">
        <v>272.45999999999998</v>
      </c>
      <c r="M91" t="s">
        <v>75</v>
      </c>
      <c r="N91" t="s">
        <v>78</v>
      </c>
    </row>
    <row r="92" spans="1:14" x14ac:dyDescent="0.3">
      <c r="A92">
        <v>2091</v>
      </c>
      <c r="B92" s="4">
        <v>44641</v>
      </c>
      <c r="C92">
        <v>2022</v>
      </c>
      <c r="D92" t="s">
        <v>14</v>
      </c>
      <c r="E92" t="s">
        <v>30</v>
      </c>
      <c r="F92" t="s">
        <v>52</v>
      </c>
      <c r="G92" t="s">
        <v>71</v>
      </c>
      <c r="H92">
        <v>9</v>
      </c>
      <c r="I92">
        <v>73.12</v>
      </c>
      <c r="J92">
        <v>658.08</v>
      </c>
      <c r="K92">
        <v>53.12</v>
      </c>
      <c r="L92">
        <v>180</v>
      </c>
      <c r="M92" t="s">
        <v>75</v>
      </c>
      <c r="N92" t="s">
        <v>79</v>
      </c>
    </row>
    <row r="93" spans="1:14" x14ac:dyDescent="0.3">
      <c r="A93">
        <v>2092</v>
      </c>
      <c r="B93" s="4">
        <v>44874</v>
      </c>
      <c r="C93">
        <v>2022</v>
      </c>
      <c r="D93" t="s">
        <v>17</v>
      </c>
      <c r="E93" t="s">
        <v>34</v>
      </c>
      <c r="F93" t="s">
        <v>49</v>
      </c>
      <c r="G93" t="s">
        <v>72</v>
      </c>
      <c r="H93">
        <v>16</v>
      </c>
      <c r="I93">
        <v>156.15</v>
      </c>
      <c r="J93">
        <v>2498.4</v>
      </c>
      <c r="K93">
        <v>119.51</v>
      </c>
      <c r="L93">
        <v>586.24</v>
      </c>
      <c r="M93" t="s">
        <v>74</v>
      </c>
      <c r="N93" t="s">
        <v>79</v>
      </c>
    </row>
    <row r="94" spans="1:14" x14ac:dyDescent="0.3">
      <c r="A94">
        <v>2093</v>
      </c>
      <c r="B94" s="4">
        <v>45395</v>
      </c>
      <c r="C94">
        <v>2024</v>
      </c>
      <c r="D94" t="s">
        <v>19</v>
      </c>
      <c r="E94" t="s">
        <v>39</v>
      </c>
      <c r="F94" t="s">
        <v>44</v>
      </c>
      <c r="G94" t="s">
        <v>68</v>
      </c>
      <c r="H94">
        <v>10</v>
      </c>
      <c r="I94">
        <v>156.69999999999999</v>
      </c>
      <c r="J94">
        <v>1567</v>
      </c>
      <c r="K94">
        <v>124.65</v>
      </c>
      <c r="L94">
        <v>320.5</v>
      </c>
      <c r="M94" t="s">
        <v>76</v>
      </c>
      <c r="N94" t="s">
        <v>78</v>
      </c>
    </row>
    <row r="95" spans="1:14" x14ac:dyDescent="0.3">
      <c r="A95">
        <v>2094</v>
      </c>
      <c r="B95" s="4">
        <v>45516</v>
      </c>
      <c r="C95">
        <v>2024</v>
      </c>
      <c r="D95" t="s">
        <v>18</v>
      </c>
      <c r="E95" t="s">
        <v>29</v>
      </c>
      <c r="F95" t="s">
        <v>53</v>
      </c>
      <c r="G95" t="s">
        <v>69</v>
      </c>
      <c r="H95">
        <v>5</v>
      </c>
      <c r="I95">
        <v>140.01</v>
      </c>
      <c r="J95">
        <v>700.05</v>
      </c>
      <c r="K95">
        <v>95.47</v>
      </c>
      <c r="L95">
        <v>222.7</v>
      </c>
      <c r="M95" t="s">
        <v>74</v>
      </c>
      <c r="N95" t="s">
        <v>79</v>
      </c>
    </row>
    <row r="96" spans="1:14" x14ac:dyDescent="0.3">
      <c r="A96">
        <v>2095</v>
      </c>
      <c r="B96" s="4">
        <v>44900</v>
      </c>
      <c r="C96">
        <v>2022</v>
      </c>
      <c r="D96" t="s">
        <v>19</v>
      </c>
      <c r="E96" t="s">
        <v>39</v>
      </c>
      <c r="F96" t="s">
        <v>59</v>
      </c>
      <c r="G96" t="s">
        <v>69</v>
      </c>
      <c r="H96">
        <v>2</v>
      </c>
      <c r="I96">
        <v>182.19</v>
      </c>
      <c r="J96">
        <v>364.38</v>
      </c>
      <c r="K96">
        <v>151.57</v>
      </c>
      <c r="L96">
        <v>61.24</v>
      </c>
      <c r="M96" t="s">
        <v>75</v>
      </c>
      <c r="N96" t="s">
        <v>78</v>
      </c>
    </row>
    <row r="97" spans="1:14" x14ac:dyDescent="0.3">
      <c r="A97">
        <v>2096</v>
      </c>
      <c r="B97" s="4">
        <v>44811</v>
      </c>
      <c r="C97">
        <v>2022</v>
      </c>
      <c r="D97" t="s">
        <v>20</v>
      </c>
      <c r="E97" t="s">
        <v>32</v>
      </c>
      <c r="F97" t="s">
        <v>59</v>
      </c>
      <c r="G97" t="s">
        <v>69</v>
      </c>
      <c r="H97">
        <v>15</v>
      </c>
      <c r="I97">
        <v>190.94</v>
      </c>
      <c r="J97">
        <v>2864.1</v>
      </c>
      <c r="K97">
        <v>143.04</v>
      </c>
      <c r="L97">
        <v>718.5</v>
      </c>
      <c r="M97" t="s">
        <v>75</v>
      </c>
      <c r="N97" t="s">
        <v>80</v>
      </c>
    </row>
    <row r="98" spans="1:14" x14ac:dyDescent="0.3">
      <c r="A98">
        <v>2097</v>
      </c>
      <c r="B98" s="4">
        <v>44659</v>
      </c>
      <c r="C98">
        <v>2022</v>
      </c>
      <c r="D98" t="s">
        <v>15</v>
      </c>
      <c r="E98" t="s">
        <v>28</v>
      </c>
      <c r="F98" t="s">
        <v>51</v>
      </c>
      <c r="G98" t="s">
        <v>69</v>
      </c>
      <c r="H98">
        <v>8</v>
      </c>
      <c r="I98">
        <v>107.68</v>
      </c>
      <c r="J98">
        <v>861.44</v>
      </c>
      <c r="K98">
        <v>88.18</v>
      </c>
      <c r="L98">
        <v>156</v>
      </c>
      <c r="M98" t="s">
        <v>74</v>
      </c>
      <c r="N98" t="s">
        <v>80</v>
      </c>
    </row>
    <row r="99" spans="1:14" x14ac:dyDescent="0.3">
      <c r="A99">
        <v>2098</v>
      </c>
      <c r="B99" s="4">
        <v>44856</v>
      </c>
      <c r="C99">
        <v>2022</v>
      </c>
      <c r="D99" t="s">
        <v>22</v>
      </c>
      <c r="E99" t="s">
        <v>38</v>
      </c>
      <c r="F99" t="s">
        <v>55</v>
      </c>
      <c r="G99" t="s">
        <v>71</v>
      </c>
      <c r="H99">
        <v>11</v>
      </c>
      <c r="I99">
        <v>59.6</v>
      </c>
      <c r="J99">
        <v>655.6</v>
      </c>
      <c r="K99">
        <v>45.11</v>
      </c>
      <c r="L99">
        <v>159.38999999999999</v>
      </c>
      <c r="M99" t="s">
        <v>74</v>
      </c>
      <c r="N99" t="s">
        <v>79</v>
      </c>
    </row>
    <row r="100" spans="1:14" x14ac:dyDescent="0.3">
      <c r="A100">
        <v>2099</v>
      </c>
      <c r="B100" s="4">
        <v>44740</v>
      </c>
      <c r="C100">
        <v>2022</v>
      </c>
      <c r="D100" t="s">
        <v>18</v>
      </c>
      <c r="E100" t="s">
        <v>29</v>
      </c>
      <c r="F100" t="s">
        <v>66</v>
      </c>
      <c r="G100" t="s">
        <v>72</v>
      </c>
      <c r="H100">
        <v>18</v>
      </c>
      <c r="I100">
        <v>155.75</v>
      </c>
      <c r="J100">
        <v>2803.5</v>
      </c>
      <c r="K100">
        <v>140.15</v>
      </c>
      <c r="L100">
        <v>280.8</v>
      </c>
      <c r="M100" t="s">
        <v>76</v>
      </c>
      <c r="N100" t="s">
        <v>80</v>
      </c>
    </row>
    <row r="101" spans="1:14" x14ac:dyDescent="0.3">
      <c r="A101">
        <v>2100</v>
      </c>
      <c r="B101" s="4">
        <v>44706</v>
      </c>
      <c r="C101">
        <v>2022</v>
      </c>
      <c r="D101" t="s">
        <v>18</v>
      </c>
      <c r="E101" t="s">
        <v>29</v>
      </c>
      <c r="F101" t="s">
        <v>64</v>
      </c>
      <c r="G101" t="s">
        <v>70</v>
      </c>
      <c r="H101">
        <v>12</v>
      </c>
      <c r="I101">
        <v>43.23</v>
      </c>
      <c r="J101">
        <v>518.76</v>
      </c>
      <c r="K101">
        <v>32.229999999999997</v>
      </c>
      <c r="L101">
        <v>132</v>
      </c>
      <c r="M101" t="s">
        <v>74</v>
      </c>
      <c r="N101" t="s">
        <v>77</v>
      </c>
    </row>
    <row r="102" spans="1:14" x14ac:dyDescent="0.3">
      <c r="A102">
        <v>2101</v>
      </c>
      <c r="B102" s="4">
        <v>45055</v>
      </c>
      <c r="C102">
        <v>2023</v>
      </c>
      <c r="D102" t="s">
        <v>22</v>
      </c>
      <c r="E102" t="s">
        <v>38</v>
      </c>
      <c r="F102" t="s">
        <v>56</v>
      </c>
      <c r="G102" t="s">
        <v>70</v>
      </c>
      <c r="H102">
        <v>17</v>
      </c>
      <c r="I102">
        <v>35.909999999999997</v>
      </c>
      <c r="J102">
        <v>610.47</v>
      </c>
      <c r="K102">
        <v>29.38</v>
      </c>
      <c r="L102">
        <v>111.01</v>
      </c>
      <c r="M102" t="s">
        <v>75</v>
      </c>
      <c r="N102" t="s">
        <v>77</v>
      </c>
    </row>
    <row r="103" spans="1:14" x14ac:dyDescent="0.3">
      <c r="A103">
        <v>2102</v>
      </c>
      <c r="B103" s="4">
        <v>45209</v>
      </c>
      <c r="C103">
        <v>2023</v>
      </c>
      <c r="D103" t="s">
        <v>14</v>
      </c>
      <c r="E103" t="s">
        <v>24</v>
      </c>
      <c r="F103" t="s">
        <v>47</v>
      </c>
      <c r="G103" t="s">
        <v>71</v>
      </c>
      <c r="H103">
        <v>16</v>
      </c>
      <c r="I103">
        <v>175.43</v>
      </c>
      <c r="J103">
        <v>2806.88</v>
      </c>
      <c r="K103">
        <v>112.16</v>
      </c>
      <c r="L103">
        <v>1012.32</v>
      </c>
      <c r="M103" t="s">
        <v>74</v>
      </c>
      <c r="N103" t="s">
        <v>79</v>
      </c>
    </row>
    <row r="104" spans="1:14" x14ac:dyDescent="0.3">
      <c r="A104">
        <v>2103</v>
      </c>
      <c r="B104" s="4">
        <v>44952</v>
      </c>
      <c r="C104">
        <v>2023</v>
      </c>
      <c r="D104" t="s">
        <v>17</v>
      </c>
      <c r="E104" t="s">
        <v>27</v>
      </c>
      <c r="F104" t="s">
        <v>51</v>
      </c>
      <c r="G104" t="s">
        <v>69</v>
      </c>
      <c r="H104">
        <v>3</v>
      </c>
      <c r="I104">
        <v>141.88999999999999</v>
      </c>
      <c r="J104">
        <v>425.67</v>
      </c>
      <c r="K104">
        <v>122.41</v>
      </c>
      <c r="L104">
        <v>58.44</v>
      </c>
      <c r="M104" t="s">
        <v>76</v>
      </c>
      <c r="N104" t="s">
        <v>77</v>
      </c>
    </row>
    <row r="105" spans="1:14" x14ac:dyDescent="0.3">
      <c r="A105">
        <v>2104</v>
      </c>
      <c r="B105" s="4">
        <v>44776</v>
      </c>
      <c r="C105">
        <v>2022</v>
      </c>
      <c r="D105" t="s">
        <v>18</v>
      </c>
      <c r="E105" t="s">
        <v>29</v>
      </c>
      <c r="F105" t="s">
        <v>50</v>
      </c>
      <c r="G105" t="s">
        <v>73</v>
      </c>
      <c r="H105">
        <v>12</v>
      </c>
      <c r="I105">
        <v>132.65</v>
      </c>
      <c r="J105">
        <v>1591.8</v>
      </c>
      <c r="K105">
        <v>106.98</v>
      </c>
      <c r="L105">
        <v>308.04000000000002</v>
      </c>
      <c r="M105" t="s">
        <v>74</v>
      </c>
      <c r="N105" t="s">
        <v>79</v>
      </c>
    </row>
    <row r="106" spans="1:14" x14ac:dyDescent="0.3">
      <c r="A106">
        <v>2105</v>
      </c>
      <c r="B106" s="4">
        <v>44683</v>
      </c>
      <c r="C106">
        <v>2022</v>
      </c>
      <c r="D106" t="s">
        <v>16</v>
      </c>
      <c r="E106" t="s">
        <v>26</v>
      </c>
      <c r="F106" t="s">
        <v>65</v>
      </c>
      <c r="G106" t="s">
        <v>73</v>
      </c>
      <c r="H106">
        <v>13</v>
      </c>
      <c r="I106">
        <v>29.9</v>
      </c>
      <c r="J106">
        <v>388.7</v>
      </c>
      <c r="K106">
        <v>19.489999999999998</v>
      </c>
      <c r="L106">
        <v>135.33000000000001</v>
      </c>
      <c r="M106" t="s">
        <v>75</v>
      </c>
      <c r="N106" t="s">
        <v>79</v>
      </c>
    </row>
    <row r="107" spans="1:14" x14ac:dyDescent="0.3">
      <c r="A107">
        <v>2106</v>
      </c>
      <c r="B107" s="4">
        <v>44858</v>
      </c>
      <c r="C107">
        <v>2022</v>
      </c>
      <c r="D107" t="s">
        <v>20</v>
      </c>
      <c r="E107" t="s">
        <v>32</v>
      </c>
      <c r="F107" t="s">
        <v>52</v>
      </c>
      <c r="G107" t="s">
        <v>71</v>
      </c>
      <c r="H107">
        <v>20</v>
      </c>
      <c r="I107">
        <v>191.78</v>
      </c>
      <c r="J107">
        <v>3835.6</v>
      </c>
      <c r="K107">
        <v>127.35</v>
      </c>
      <c r="L107">
        <v>1288.5999999999999</v>
      </c>
      <c r="M107" t="s">
        <v>74</v>
      </c>
      <c r="N107" t="s">
        <v>80</v>
      </c>
    </row>
    <row r="108" spans="1:14" x14ac:dyDescent="0.3">
      <c r="A108">
        <v>2107</v>
      </c>
      <c r="B108" s="4">
        <v>44593</v>
      </c>
      <c r="C108">
        <v>2022</v>
      </c>
      <c r="D108" t="s">
        <v>18</v>
      </c>
      <c r="E108" t="s">
        <v>29</v>
      </c>
      <c r="F108" t="s">
        <v>54</v>
      </c>
      <c r="G108" t="s">
        <v>72</v>
      </c>
      <c r="H108">
        <v>2</v>
      </c>
      <c r="I108">
        <v>116.21</v>
      </c>
      <c r="J108">
        <v>232.42</v>
      </c>
      <c r="K108">
        <v>88.52</v>
      </c>
      <c r="L108">
        <v>55.38</v>
      </c>
      <c r="M108" t="s">
        <v>76</v>
      </c>
      <c r="N108" t="s">
        <v>77</v>
      </c>
    </row>
    <row r="109" spans="1:14" x14ac:dyDescent="0.3">
      <c r="A109">
        <v>2108</v>
      </c>
      <c r="B109" s="4">
        <v>44623</v>
      </c>
      <c r="C109">
        <v>2022</v>
      </c>
      <c r="D109" t="s">
        <v>16</v>
      </c>
      <c r="E109" t="s">
        <v>26</v>
      </c>
      <c r="F109" t="s">
        <v>61</v>
      </c>
      <c r="G109" t="s">
        <v>68</v>
      </c>
      <c r="H109">
        <v>4</v>
      </c>
      <c r="I109">
        <v>124.31</v>
      </c>
      <c r="J109">
        <v>497.24</v>
      </c>
      <c r="K109">
        <v>95.72</v>
      </c>
      <c r="L109">
        <v>114.36</v>
      </c>
      <c r="M109" t="s">
        <v>75</v>
      </c>
      <c r="N109" t="s">
        <v>78</v>
      </c>
    </row>
    <row r="110" spans="1:14" x14ac:dyDescent="0.3">
      <c r="A110">
        <v>2109</v>
      </c>
      <c r="B110" s="4">
        <v>44579</v>
      </c>
      <c r="C110">
        <v>2022</v>
      </c>
      <c r="D110" t="s">
        <v>19</v>
      </c>
      <c r="E110" t="s">
        <v>42</v>
      </c>
      <c r="F110" t="s">
        <v>64</v>
      </c>
      <c r="G110" t="s">
        <v>70</v>
      </c>
      <c r="H110">
        <v>7</v>
      </c>
      <c r="I110">
        <v>193.28</v>
      </c>
      <c r="J110">
        <v>1352.96</v>
      </c>
      <c r="K110">
        <v>136.41999999999999</v>
      </c>
      <c r="L110">
        <v>398.02</v>
      </c>
      <c r="M110" t="s">
        <v>75</v>
      </c>
      <c r="N110" t="s">
        <v>78</v>
      </c>
    </row>
    <row r="111" spans="1:14" x14ac:dyDescent="0.3">
      <c r="A111">
        <v>2110</v>
      </c>
      <c r="B111" s="4">
        <v>45558</v>
      </c>
      <c r="C111">
        <v>2024</v>
      </c>
      <c r="D111" t="s">
        <v>18</v>
      </c>
      <c r="E111" t="s">
        <v>29</v>
      </c>
      <c r="F111" t="s">
        <v>53</v>
      </c>
      <c r="G111" t="s">
        <v>69</v>
      </c>
      <c r="H111">
        <v>18</v>
      </c>
      <c r="I111">
        <v>184.08</v>
      </c>
      <c r="J111">
        <v>3313.44</v>
      </c>
      <c r="K111">
        <v>150.69</v>
      </c>
      <c r="L111">
        <v>601.02</v>
      </c>
      <c r="M111" t="s">
        <v>75</v>
      </c>
      <c r="N111" t="s">
        <v>80</v>
      </c>
    </row>
    <row r="112" spans="1:14" x14ac:dyDescent="0.3">
      <c r="A112">
        <v>2111</v>
      </c>
      <c r="B112" s="4">
        <v>44813</v>
      </c>
      <c r="C112">
        <v>2022</v>
      </c>
      <c r="D112" t="s">
        <v>22</v>
      </c>
      <c r="E112" t="s">
        <v>36</v>
      </c>
      <c r="F112" t="s">
        <v>49</v>
      </c>
      <c r="G112" t="s">
        <v>72</v>
      </c>
      <c r="H112">
        <v>11</v>
      </c>
      <c r="I112">
        <v>135.04</v>
      </c>
      <c r="J112">
        <v>1485.44</v>
      </c>
      <c r="K112">
        <v>89.33</v>
      </c>
      <c r="L112">
        <v>502.81</v>
      </c>
      <c r="M112" t="s">
        <v>76</v>
      </c>
      <c r="N112" t="s">
        <v>78</v>
      </c>
    </row>
    <row r="113" spans="1:14" x14ac:dyDescent="0.3">
      <c r="A113">
        <v>2112</v>
      </c>
      <c r="B113" s="4">
        <v>45082</v>
      </c>
      <c r="C113">
        <v>2023</v>
      </c>
      <c r="D113" t="s">
        <v>21</v>
      </c>
      <c r="E113" t="s">
        <v>41</v>
      </c>
      <c r="F113" t="s">
        <v>45</v>
      </c>
      <c r="G113" t="s">
        <v>69</v>
      </c>
      <c r="H113">
        <v>10</v>
      </c>
      <c r="I113">
        <v>184.56</v>
      </c>
      <c r="J113">
        <v>1845.6</v>
      </c>
      <c r="K113">
        <v>132.86000000000001</v>
      </c>
      <c r="L113">
        <v>517</v>
      </c>
      <c r="M113" t="s">
        <v>75</v>
      </c>
      <c r="N113" t="s">
        <v>79</v>
      </c>
    </row>
    <row r="114" spans="1:14" x14ac:dyDescent="0.3">
      <c r="A114">
        <v>2113</v>
      </c>
      <c r="B114" s="4">
        <v>45572</v>
      </c>
      <c r="C114">
        <v>2024</v>
      </c>
      <c r="D114" t="s">
        <v>22</v>
      </c>
      <c r="E114" t="s">
        <v>36</v>
      </c>
      <c r="F114" t="s">
        <v>49</v>
      </c>
      <c r="G114" t="s">
        <v>72</v>
      </c>
      <c r="H114">
        <v>5</v>
      </c>
      <c r="I114">
        <v>172.12</v>
      </c>
      <c r="J114">
        <v>860.6</v>
      </c>
      <c r="K114">
        <v>127.1</v>
      </c>
      <c r="L114">
        <v>225.1</v>
      </c>
      <c r="M114" t="s">
        <v>75</v>
      </c>
      <c r="N114" t="s">
        <v>77</v>
      </c>
    </row>
    <row r="115" spans="1:14" x14ac:dyDescent="0.3">
      <c r="A115">
        <v>2114</v>
      </c>
      <c r="B115" s="4">
        <v>44953</v>
      </c>
      <c r="C115">
        <v>2023</v>
      </c>
      <c r="D115" t="s">
        <v>18</v>
      </c>
      <c r="E115" t="s">
        <v>29</v>
      </c>
      <c r="F115" t="s">
        <v>49</v>
      </c>
      <c r="G115" t="s">
        <v>72</v>
      </c>
      <c r="H115">
        <v>7</v>
      </c>
      <c r="I115">
        <v>141.22999999999999</v>
      </c>
      <c r="J115">
        <v>988.61</v>
      </c>
      <c r="K115">
        <v>121.97</v>
      </c>
      <c r="L115">
        <v>134.82</v>
      </c>
      <c r="M115" t="s">
        <v>74</v>
      </c>
      <c r="N115" t="s">
        <v>79</v>
      </c>
    </row>
    <row r="116" spans="1:14" x14ac:dyDescent="0.3">
      <c r="A116">
        <v>2115</v>
      </c>
      <c r="B116" s="4">
        <v>45541</v>
      </c>
      <c r="C116">
        <v>2024</v>
      </c>
      <c r="D116" t="s">
        <v>19</v>
      </c>
      <c r="E116" t="s">
        <v>39</v>
      </c>
      <c r="F116" t="s">
        <v>67</v>
      </c>
      <c r="G116" t="s">
        <v>71</v>
      </c>
      <c r="H116">
        <v>13</v>
      </c>
      <c r="I116">
        <v>32.31</v>
      </c>
      <c r="J116">
        <v>420.03</v>
      </c>
      <c r="K116">
        <v>24.38</v>
      </c>
      <c r="L116">
        <v>103.09</v>
      </c>
      <c r="M116" t="s">
        <v>75</v>
      </c>
      <c r="N116" t="s">
        <v>80</v>
      </c>
    </row>
    <row r="117" spans="1:14" x14ac:dyDescent="0.3">
      <c r="A117">
        <v>2116</v>
      </c>
      <c r="B117" s="4">
        <v>44762</v>
      </c>
      <c r="C117">
        <v>2022</v>
      </c>
      <c r="D117" t="s">
        <v>14</v>
      </c>
      <c r="E117" t="s">
        <v>24</v>
      </c>
      <c r="F117" t="s">
        <v>66</v>
      </c>
      <c r="G117" t="s">
        <v>72</v>
      </c>
      <c r="H117">
        <v>4</v>
      </c>
      <c r="I117">
        <v>38.85</v>
      </c>
      <c r="J117">
        <v>155.4</v>
      </c>
      <c r="K117">
        <v>30.82</v>
      </c>
      <c r="L117">
        <v>32.119999999999997</v>
      </c>
      <c r="M117" t="s">
        <v>76</v>
      </c>
      <c r="N117" t="s">
        <v>80</v>
      </c>
    </row>
    <row r="118" spans="1:14" x14ac:dyDescent="0.3">
      <c r="A118">
        <v>2117</v>
      </c>
      <c r="B118" s="4">
        <v>45243</v>
      </c>
      <c r="C118">
        <v>2023</v>
      </c>
      <c r="D118" t="s">
        <v>19</v>
      </c>
      <c r="E118" t="s">
        <v>31</v>
      </c>
      <c r="F118" t="s">
        <v>44</v>
      </c>
      <c r="G118" t="s">
        <v>68</v>
      </c>
      <c r="H118">
        <v>2</v>
      </c>
      <c r="I118">
        <v>158.80000000000001</v>
      </c>
      <c r="J118">
        <v>317.60000000000002</v>
      </c>
      <c r="K118">
        <v>120.67</v>
      </c>
      <c r="L118">
        <v>76.260000000000005</v>
      </c>
      <c r="M118" t="s">
        <v>74</v>
      </c>
      <c r="N118" t="s">
        <v>77</v>
      </c>
    </row>
    <row r="119" spans="1:14" x14ac:dyDescent="0.3">
      <c r="A119">
        <v>2118</v>
      </c>
      <c r="B119" s="4">
        <v>44918</v>
      </c>
      <c r="C119">
        <v>2022</v>
      </c>
      <c r="D119" t="s">
        <v>21</v>
      </c>
      <c r="E119" t="s">
        <v>41</v>
      </c>
      <c r="F119" t="s">
        <v>49</v>
      </c>
      <c r="G119" t="s">
        <v>72</v>
      </c>
      <c r="H119">
        <v>7</v>
      </c>
      <c r="I119">
        <v>106.4</v>
      </c>
      <c r="J119">
        <v>744.8</v>
      </c>
      <c r="K119">
        <v>66.989999999999995</v>
      </c>
      <c r="L119">
        <v>275.87</v>
      </c>
      <c r="M119" t="s">
        <v>74</v>
      </c>
      <c r="N119" t="s">
        <v>80</v>
      </c>
    </row>
    <row r="120" spans="1:14" x14ac:dyDescent="0.3">
      <c r="A120">
        <v>2119</v>
      </c>
      <c r="B120" s="4">
        <v>45513</v>
      </c>
      <c r="C120">
        <v>2024</v>
      </c>
      <c r="D120" t="s">
        <v>16</v>
      </c>
      <c r="E120" t="s">
        <v>35</v>
      </c>
      <c r="F120" t="s">
        <v>66</v>
      </c>
      <c r="G120" t="s">
        <v>72</v>
      </c>
      <c r="H120">
        <v>9</v>
      </c>
      <c r="I120">
        <v>55.6</v>
      </c>
      <c r="J120">
        <v>500.4</v>
      </c>
      <c r="K120">
        <v>48.77</v>
      </c>
      <c r="L120">
        <v>61.47</v>
      </c>
      <c r="M120" t="s">
        <v>76</v>
      </c>
      <c r="N120" t="s">
        <v>80</v>
      </c>
    </row>
    <row r="121" spans="1:14" x14ac:dyDescent="0.3">
      <c r="A121">
        <v>2120</v>
      </c>
      <c r="B121" s="4">
        <v>45609</v>
      </c>
      <c r="C121">
        <v>2024</v>
      </c>
      <c r="D121" t="s">
        <v>16</v>
      </c>
      <c r="E121" t="s">
        <v>26</v>
      </c>
      <c r="F121" t="s">
        <v>59</v>
      </c>
      <c r="G121" t="s">
        <v>69</v>
      </c>
      <c r="H121">
        <v>5</v>
      </c>
      <c r="I121">
        <v>194.76</v>
      </c>
      <c r="J121">
        <v>973.8</v>
      </c>
      <c r="K121">
        <v>174.58</v>
      </c>
      <c r="L121">
        <v>100.9</v>
      </c>
      <c r="M121" t="s">
        <v>74</v>
      </c>
      <c r="N121" t="s">
        <v>77</v>
      </c>
    </row>
    <row r="122" spans="1:14" x14ac:dyDescent="0.3">
      <c r="A122">
        <v>2121</v>
      </c>
      <c r="B122" s="4">
        <v>44840</v>
      </c>
      <c r="C122">
        <v>2022</v>
      </c>
      <c r="D122" t="s">
        <v>15</v>
      </c>
      <c r="E122" t="s">
        <v>28</v>
      </c>
      <c r="F122" t="s">
        <v>46</v>
      </c>
      <c r="G122" t="s">
        <v>70</v>
      </c>
      <c r="H122">
        <v>11</v>
      </c>
      <c r="I122">
        <v>146.11000000000001</v>
      </c>
      <c r="J122">
        <v>1607.21</v>
      </c>
      <c r="K122">
        <v>96.21</v>
      </c>
      <c r="L122">
        <v>548.9</v>
      </c>
      <c r="M122" t="s">
        <v>74</v>
      </c>
      <c r="N122" t="s">
        <v>78</v>
      </c>
    </row>
    <row r="123" spans="1:14" x14ac:dyDescent="0.3">
      <c r="A123">
        <v>2122</v>
      </c>
      <c r="B123" s="4">
        <v>44724</v>
      </c>
      <c r="C123">
        <v>2022</v>
      </c>
      <c r="D123" t="s">
        <v>15</v>
      </c>
      <c r="E123" t="s">
        <v>28</v>
      </c>
      <c r="F123" t="s">
        <v>48</v>
      </c>
      <c r="G123" t="s">
        <v>68</v>
      </c>
      <c r="H123">
        <v>12</v>
      </c>
      <c r="I123">
        <v>92.47</v>
      </c>
      <c r="J123">
        <v>1109.6400000000001</v>
      </c>
      <c r="K123">
        <v>76.13</v>
      </c>
      <c r="L123">
        <v>196.08</v>
      </c>
      <c r="M123" t="s">
        <v>75</v>
      </c>
      <c r="N123" t="s">
        <v>77</v>
      </c>
    </row>
    <row r="124" spans="1:14" x14ac:dyDescent="0.3">
      <c r="A124">
        <v>2123</v>
      </c>
      <c r="B124" s="4">
        <v>45213</v>
      </c>
      <c r="C124">
        <v>2023</v>
      </c>
      <c r="D124" t="s">
        <v>19</v>
      </c>
      <c r="E124" t="s">
        <v>31</v>
      </c>
      <c r="F124" t="s">
        <v>64</v>
      </c>
      <c r="G124" t="s">
        <v>70</v>
      </c>
      <c r="H124">
        <v>2</v>
      </c>
      <c r="I124">
        <v>69.86</v>
      </c>
      <c r="J124">
        <v>139.72</v>
      </c>
      <c r="K124">
        <v>48.31</v>
      </c>
      <c r="L124">
        <v>43.1</v>
      </c>
      <c r="M124" t="s">
        <v>76</v>
      </c>
      <c r="N124" t="s">
        <v>77</v>
      </c>
    </row>
    <row r="125" spans="1:14" x14ac:dyDescent="0.3">
      <c r="A125">
        <v>2124</v>
      </c>
      <c r="B125" s="4">
        <v>45118</v>
      </c>
      <c r="C125">
        <v>2023</v>
      </c>
      <c r="D125" t="s">
        <v>21</v>
      </c>
      <c r="E125" t="s">
        <v>41</v>
      </c>
      <c r="F125" t="s">
        <v>49</v>
      </c>
      <c r="G125" t="s">
        <v>72</v>
      </c>
      <c r="H125">
        <v>14</v>
      </c>
      <c r="I125">
        <v>117.31</v>
      </c>
      <c r="J125">
        <v>1642.34</v>
      </c>
      <c r="K125">
        <v>103.84</v>
      </c>
      <c r="L125">
        <v>188.58</v>
      </c>
      <c r="M125" t="s">
        <v>75</v>
      </c>
      <c r="N125" t="s">
        <v>78</v>
      </c>
    </row>
    <row r="126" spans="1:14" x14ac:dyDescent="0.3">
      <c r="A126">
        <v>2125</v>
      </c>
      <c r="B126" s="4">
        <v>44738</v>
      </c>
      <c r="C126">
        <v>2022</v>
      </c>
      <c r="D126" t="s">
        <v>17</v>
      </c>
      <c r="E126" t="s">
        <v>27</v>
      </c>
      <c r="F126" t="s">
        <v>62</v>
      </c>
      <c r="G126" t="s">
        <v>72</v>
      </c>
      <c r="H126">
        <v>1</v>
      </c>
      <c r="I126">
        <v>170.85</v>
      </c>
      <c r="J126">
        <v>170.85</v>
      </c>
      <c r="K126">
        <v>128.13</v>
      </c>
      <c r="L126">
        <v>42.72</v>
      </c>
      <c r="M126" t="s">
        <v>75</v>
      </c>
      <c r="N126" t="s">
        <v>80</v>
      </c>
    </row>
    <row r="127" spans="1:14" x14ac:dyDescent="0.3">
      <c r="A127">
        <v>2126</v>
      </c>
      <c r="B127" s="4">
        <v>45631</v>
      </c>
      <c r="C127">
        <v>2024</v>
      </c>
      <c r="D127" t="s">
        <v>20</v>
      </c>
      <c r="E127" t="s">
        <v>40</v>
      </c>
      <c r="F127" t="s">
        <v>65</v>
      </c>
      <c r="G127" t="s">
        <v>73</v>
      </c>
      <c r="H127">
        <v>19</v>
      </c>
      <c r="I127">
        <v>153.72999999999999</v>
      </c>
      <c r="J127">
        <v>2920.87</v>
      </c>
      <c r="K127">
        <v>133.31</v>
      </c>
      <c r="L127">
        <v>387.98</v>
      </c>
      <c r="M127" t="s">
        <v>75</v>
      </c>
      <c r="N127" t="s">
        <v>78</v>
      </c>
    </row>
    <row r="128" spans="1:14" x14ac:dyDescent="0.3">
      <c r="A128">
        <v>2127</v>
      </c>
      <c r="B128" s="4">
        <v>45148</v>
      </c>
      <c r="C128">
        <v>2023</v>
      </c>
      <c r="D128" t="s">
        <v>23</v>
      </c>
      <c r="E128" t="s">
        <v>43</v>
      </c>
      <c r="F128" t="s">
        <v>66</v>
      </c>
      <c r="G128" t="s">
        <v>72</v>
      </c>
      <c r="H128">
        <v>4</v>
      </c>
      <c r="I128">
        <v>75.77</v>
      </c>
      <c r="J128">
        <v>303.08</v>
      </c>
      <c r="K128">
        <v>66.489999999999995</v>
      </c>
      <c r="L128">
        <v>37.119999999999997</v>
      </c>
      <c r="M128" t="s">
        <v>76</v>
      </c>
      <c r="N128" t="s">
        <v>79</v>
      </c>
    </row>
    <row r="129" spans="1:14" x14ac:dyDescent="0.3">
      <c r="A129">
        <v>2128</v>
      </c>
      <c r="B129" s="4">
        <v>45617</v>
      </c>
      <c r="C129">
        <v>2024</v>
      </c>
      <c r="D129" t="s">
        <v>19</v>
      </c>
      <c r="E129" t="s">
        <v>39</v>
      </c>
      <c r="F129" t="s">
        <v>52</v>
      </c>
      <c r="G129" t="s">
        <v>71</v>
      </c>
      <c r="H129">
        <v>5</v>
      </c>
      <c r="I129">
        <v>31.9</v>
      </c>
      <c r="J129">
        <v>159.5</v>
      </c>
      <c r="K129">
        <v>24.42</v>
      </c>
      <c r="L129">
        <v>37.4</v>
      </c>
      <c r="M129" t="s">
        <v>75</v>
      </c>
      <c r="N129" t="s">
        <v>79</v>
      </c>
    </row>
    <row r="130" spans="1:14" x14ac:dyDescent="0.3">
      <c r="A130">
        <v>2129</v>
      </c>
      <c r="B130" s="4">
        <v>44689</v>
      </c>
      <c r="C130">
        <v>2022</v>
      </c>
      <c r="D130" t="s">
        <v>21</v>
      </c>
      <c r="E130" t="s">
        <v>41</v>
      </c>
      <c r="F130" t="s">
        <v>65</v>
      </c>
      <c r="G130" t="s">
        <v>73</v>
      </c>
      <c r="H130">
        <v>17</v>
      </c>
      <c r="I130">
        <v>59.23</v>
      </c>
      <c r="J130">
        <v>1006.91</v>
      </c>
      <c r="K130">
        <v>43.29</v>
      </c>
      <c r="L130">
        <v>270.98</v>
      </c>
      <c r="M130" t="s">
        <v>76</v>
      </c>
      <c r="N130" t="s">
        <v>79</v>
      </c>
    </row>
    <row r="131" spans="1:14" x14ac:dyDescent="0.3">
      <c r="A131">
        <v>2130</v>
      </c>
      <c r="B131" s="4">
        <v>45578</v>
      </c>
      <c r="C131">
        <v>2024</v>
      </c>
      <c r="D131" t="s">
        <v>19</v>
      </c>
      <c r="E131" t="s">
        <v>39</v>
      </c>
      <c r="F131" t="s">
        <v>67</v>
      </c>
      <c r="G131" t="s">
        <v>71</v>
      </c>
      <c r="H131">
        <v>17</v>
      </c>
      <c r="I131">
        <v>54.33</v>
      </c>
      <c r="J131">
        <v>923.61</v>
      </c>
      <c r="K131">
        <v>35.39</v>
      </c>
      <c r="L131">
        <v>321.98</v>
      </c>
      <c r="M131" t="s">
        <v>76</v>
      </c>
      <c r="N131" t="s">
        <v>78</v>
      </c>
    </row>
    <row r="132" spans="1:14" x14ac:dyDescent="0.3">
      <c r="A132">
        <v>2131</v>
      </c>
      <c r="B132" s="4">
        <v>45257</v>
      </c>
      <c r="C132">
        <v>2023</v>
      </c>
      <c r="D132" t="s">
        <v>19</v>
      </c>
      <c r="E132" t="s">
        <v>42</v>
      </c>
      <c r="F132" t="s">
        <v>64</v>
      </c>
      <c r="G132" t="s">
        <v>70</v>
      </c>
      <c r="H132">
        <v>7</v>
      </c>
      <c r="I132">
        <v>126.46</v>
      </c>
      <c r="J132">
        <v>885.22</v>
      </c>
      <c r="K132">
        <v>82.46</v>
      </c>
      <c r="L132">
        <v>308</v>
      </c>
      <c r="M132" t="s">
        <v>74</v>
      </c>
      <c r="N132" t="s">
        <v>80</v>
      </c>
    </row>
    <row r="133" spans="1:14" x14ac:dyDescent="0.3">
      <c r="A133">
        <v>2132</v>
      </c>
      <c r="B133" s="4">
        <v>44938</v>
      </c>
      <c r="C133">
        <v>2023</v>
      </c>
      <c r="D133" t="s">
        <v>22</v>
      </c>
      <c r="E133" t="s">
        <v>38</v>
      </c>
      <c r="F133" t="s">
        <v>52</v>
      </c>
      <c r="G133" t="s">
        <v>71</v>
      </c>
      <c r="H133">
        <v>13</v>
      </c>
      <c r="I133">
        <v>60.96</v>
      </c>
      <c r="J133">
        <v>792.48</v>
      </c>
      <c r="K133">
        <v>48.99</v>
      </c>
      <c r="L133">
        <v>155.61000000000001</v>
      </c>
      <c r="M133" t="s">
        <v>75</v>
      </c>
      <c r="N133" t="s">
        <v>79</v>
      </c>
    </row>
    <row r="134" spans="1:14" x14ac:dyDescent="0.3">
      <c r="A134">
        <v>2133</v>
      </c>
      <c r="B134" s="4">
        <v>45526</v>
      </c>
      <c r="C134">
        <v>2024</v>
      </c>
      <c r="D134" t="s">
        <v>20</v>
      </c>
      <c r="E134" t="s">
        <v>40</v>
      </c>
      <c r="F134" t="s">
        <v>64</v>
      </c>
      <c r="G134" t="s">
        <v>70</v>
      </c>
      <c r="H134">
        <v>3</v>
      </c>
      <c r="I134">
        <v>153.74</v>
      </c>
      <c r="J134">
        <v>461.22</v>
      </c>
      <c r="K134">
        <v>111.17</v>
      </c>
      <c r="L134">
        <v>127.71</v>
      </c>
      <c r="M134" t="s">
        <v>75</v>
      </c>
      <c r="N134" t="s">
        <v>79</v>
      </c>
    </row>
    <row r="135" spans="1:14" x14ac:dyDescent="0.3">
      <c r="A135">
        <v>2134</v>
      </c>
      <c r="B135" s="4">
        <v>45336</v>
      </c>
      <c r="C135">
        <v>2024</v>
      </c>
      <c r="D135" t="s">
        <v>18</v>
      </c>
      <c r="E135" t="s">
        <v>29</v>
      </c>
      <c r="F135" t="s">
        <v>63</v>
      </c>
      <c r="G135" t="s">
        <v>70</v>
      </c>
      <c r="H135">
        <v>18</v>
      </c>
      <c r="I135">
        <v>139.51</v>
      </c>
      <c r="J135">
        <v>2511.1799999999998</v>
      </c>
      <c r="K135">
        <v>116.55</v>
      </c>
      <c r="L135">
        <v>413.28</v>
      </c>
      <c r="M135" t="s">
        <v>75</v>
      </c>
      <c r="N135" t="s">
        <v>78</v>
      </c>
    </row>
    <row r="136" spans="1:14" x14ac:dyDescent="0.3">
      <c r="A136">
        <v>2135</v>
      </c>
      <c r="B136" s="4">
        <v>45251</v>
      </c>
      <c r="C136">
        <v>2023</v>
      </c>
      <c r="D136" t="s">
        <v>19</v>
      </c>
      <c r="E136" t="s">
        <v>39</v>
      </c>
      <c r="F136" t="s">
        <v>65</v>
      </c>
      <c r="G136" t="s">
        <v>73</v>
      </c>
      <c r="H136">
        <v>16</v>
      </c>
      <c r="I136">
        <v>98.02</v>
      </c>
      <c r="J136">
        <v>1568.32</v>
      </c>
      <c r="K136">
        <v>83.44</v>
      </c>
      <c r="L136">
        <v>233.28</v>
      </c>
      <c r="M136" t="s">
        <v>76</v>
      </c>
      <c r="N136" t="s">
        <v>79</v>
      </c>
    </row>
    <row r="137" spans="1:14" x14ac:dyDescent="0.3">
      <c r="A137">
        <v>2136</v>
      </c>
      <c r="B137" s="4">
        <v>44594</v>
      </c>
      <c r="C137">
        <v>2022</v>
      </c>
      <c r="D137" t="s">
        <v>21</v>
      </c>
      <c r="E137" t="s">
        <v>33</v>
      </c>
      <c r="F137" t="s">
        <v>44</v>
      </c>
      <c r="G137" t="s">
        <v>68</v>
      </c>
      <c r="H137">
        <v>18</v>
      </c>
      <c r="I137">
        <v>124.57</v>
      </c>
      <c r="J137">
        <v>2242.2600000000002</v>
      </c>
      <c r="K137">
        <v>85.74</v>
      </c>
      <c r="L137">
        <v>698.94</v>
      </c>
      <c r="M137" t="s">
        <v>76</v>
      </c>
      <c r="N137" t="s">
        <v>78</v>
      </c>
    </row>
    <row r="138" spans="1:14" x14ac:dyDescent="0.3">
      <c r="A138">
        <v>2137</v>
      </c>
      <c r="B138" s="4">
        <v>45360</v>
      </c>
      <c r="C138">
        <v>2024</v>
      </c>
      <c r="D138" t="s">
        <v>18</v>
      </c>
      <c r="E138" t="s">
        <v>29</v>
      </c>
      <c r="F138" t="s">
        <v>65</v>
      </c>
      <c r="G138" t="s">
        <v>73</v>
      </c>
      <c r="H138">
        <v>4</v>
      </c>
      <c r="I138">
        <v>118.25</v>
      </c>
      <c r="J138">
        <v>473</v>
      </c>
      <c r="K138">
        <v>91.85</v>
      </c>
      <c r="L138">
        <v>105.6</v>
      </c>
      <c r="M138" t="s">
        <v>75</v>
      </c>
      <c r="N138" t="s">
        <v>78</v>
      </c>
    </row>
    <row r="139" spans="1:14" x14ac:dyDescent="0.3">
      <c r="A139">
        <v>2138</v>
      </c>
      <c r="B139" s="4">
        <v>45458</v>
      </c>
      <c r="C139">
        <v>2024</v>
      </c>
      <c r="D139" t="s">
        <v>18</v>
      </c>
      <c r="E139" t="s">
        <v>29</v>
      </c>
      <c r="F139" t="s">
        <v>54</v>
      </c>
      <c r="G139" t="s">
        <v>72</v>
      </c>
      <c r="H139">
        <v>18</v>
      </c>
      <c r="I139">
        <v>110.56</v>
      </c>
      <c r="J139">
        <v>1990.08</v>
      </c>
      <c r="K139">
        <v>83.41</v>
      </c>
      <c r="L139">
        <v>488.7</v>
      </c>
      <c r="M139" t="s">
        <v>74</v>
      </c>
      <c r="N139" t="s">
        <v>80</v>
      </c>
    </row>
    <row r="140" spans="1:14" x14ac:dyDescent="0.3">
      <c r="A140">
        <v>2139</v>
      </c>
      <c r="B140" s="4">
        <v>45243</v>
      </c>
      <c r="C140">
        <v>2023</v>
      </c>
      <c r="D140" t="s">
        <v>19</v>
      </c>
      <c r="E140" t="s">
        <v>39</v>
      </c>
      <c r="F140" t="s">
        <v>58</v>
      </c>
      <c r="G140" t="s">
        <v>68</v>
      </c>
      <c r="H140">
        <v>17</v>
      </c>
      <c r="I140">
        <v>81.599999999999994</v>
      </c>
      <c r="J140">
        <v>1387.2</v>
      </c>
      <c r="K140">
        <v>48.99</v>
      </c>
      <c r="L140">
        <v>554.37</v>
      </c>
      <c r="M140" t="s">
        <v>76</v>
      </c>
      <c r="N140" t="s">
        <v>80</v>
      </c>
    </row>
    <row r="141" spans="1:14" x14ac:dyDescent="0.3">
      <c r="A141">
        <v>2140</v>
      </c>
      <c r="B141" s="4">
        <v>45231</v>
      </c>
      <c r="C141">
        <v>2023</v>
      </c>
      <c r="D141" t="s">
        <v>17</v>
      </c>
      <c r="E141" t="s">
        <v>34</v>
      </c>
      <c r="F141" t="s">
        <v>49</v>
      </c>
      <c r="G141" t="s">
        <v>72</v>
      </c>
      <c r="H141">
        <v>5</v>
      </c>
      <c r="I141">
        <v>36.58</v>
      </c>
      <c r="J141">
        <v>182.9</v>
      </c>
      <c r="K141">
        <v>25.9</v>
      </c>
      <c r="L141">
        <v>53.4</v>
      </c>
      <c r="M141" t="s">
        <v>76</v>
      </c>
      <c r="N141" t="s">
        <v>79</v>
      </c>
    </row>
    <row r="142" spans="1:14" x14ac:dyDescent="0.3">
      <c r="A142">
        <v>2141</v>
      </c>
      <c r="B142" s="4">
        <v>44615</v>
      </c>
      <c r="C142">
        <v>2022</v>
      </c>
      <c r="D142" t="s">
        <v>18</v>
      </c>
      <c r="E142" t="s">
        <v>29</v>
      </c>
      <c r="F142" t="s">
        <v>53</v>
      </c>
      <c r="G142" t="s">
        <v>69</v>
      </c>
      <c r="H142">
        <v>13</v>
      </c>
      <c r="I142">
        <v>48.27</v>
      </c>
      <c r="J142">
        <v>627.51</v>
      </c>
      <c r="K142">
        <v>35.18</v>
      </c>
      <c r="L142">
        <v>170.17</v>
      </c>
      <c r="M142" t="s">
        <v>76</v>
      </c>
      <c r="N142" t="s">
        <v>80</v>
      </c>
    </row>
    <row r="143" spans="1:14" x14ac:dyDescent="0.3">
      <c r="A143">
        <v>2142</v>
      </c>
      <c r="B143" s="4">
        <v>45589</v>
      </c>
      <c r="C143">
        <v>2024</v>
      </c>
      <c r="D143" t="s">
        <v>20</v>
      </c>
      <c r="E143" t="s">
        <v>32</v>
      </c>
      <c r="F143" t="s">
        <v>63</v>
      </c>
      <c r="G143" t="s">
        <v>70</v>
      </c>
      <c r="H143">
        <v>8</v>
      </c>
      <c r="I143">
        <v>196.96</v>
      </c>
      <c r="J143">
        <v>1575.68</v>
      </c>
      <c r="K143">
        <v>144.58000000000001</v>
      </c>
      <c r="L143">
        <v>419.04</v>
      </c>
      <c r="M143" t="s">
        <v>75</v>
      </c>
      <c r="N143" t="s">
        <v>79</v>
      </c>
    </row>
    <row r="144" spans="1:14" x14ac:dyDescent="0.3">
      <c r="A144">
        <v>2143</v>
      </c>
      <c r="B144" s="4">
        <v>45073</v>
      </c>
      <c r="C144">
        <v>2023</v>
      </c>
      <c r="D144" t="s">
        <v>21</v>
      </c>
      <c r="E144" t="s">
        <v>41</v>
      </c>
      <c r="F144" t="s">
        <v>57</v>
      </c>
      <c r="G144" t="s">
        <v>73</v>
      </c>
      <c r="H144">
        <v>17</v>
      </c>
      <c r="I144">
        <v>30.15</v>
      </c>
      <c r="J144">
        <v>512.54999999999995</v>
      </c>
      <c r="K144">
        <v>26.45</v>
      </c>
      <c r="L144">
        <v>62.9</v>
      </c>
      <c r="M144" t="s">
        <v>76</v>
      </c>
      <c r="N144" t="s">
        <v>78</v>
      </c>
    </row>
    <row r="145" spans="1:14" x14ac:dyDescent="0.3">
      <c r="A145">
        <v>2144</v>
      </c>
      <c r="B145" s="4">
        <v>44770</v>
      </c>
      <c r="C145">
        <v>2022</v>
      </c>
      <c r="D145" t="s">
        <v>18</v>
      </c>
      <c r="E145" t="s">
        <v>29</v>
      </c>
      <c r="F145" t="s">
        <v>56</v>
      </c>
      <c r="G145" t="s">
        <v>70</v>
      </c>
      <c r="H145">
        <v>6</v>
      </c>
      <c r="I145">
        <v>89.45</v>
      </c>
      <c r="J145">
        <v>536.70000000000005</v>
      </c>
      <c r="K145">
        <v>79.05</v>
      </c>
      <c r="L145">
        <v>62.4</v>
      </c>
      <c r="M145" t="s">
        <v>75</v>
      </c>
      <c r="N145" t="s">
        <v>77</v>
      </c>
    </row>
    <row r="146" spans="1:14" x14ac:dyDescent="0.3">
      <c r="A146">
        <v>2145</v>
      </c>
      <c r="B146" s="4">
        <v>45448</v>
      </c>
      <c r="C146">
        <v>2024</v>
      </c>
      <c r="D146" t="s">
        <v>17</v>
      </c>
      <c r="E146" t="s">
        <v>27</v>
      </c>
      <c r="F146" t="s">
        <v>56</v>
      </c>
      <c r="G146" t="s">
        <v>70</v>
      </c>
      <c r="H146">
        <v>10</v>
      </c>
      <c r="I146">
        <v>186.84</v>
      </c>
      <c r="J146">
        <v>1868.4</v>
      </c>
      <c r="K146">
        <v>141.16999999999999</v>
      </c>
      <c r="L146">
        <v>456.7</v>
      </c>
      <c r="M146" t="s">
        <v>75</v>
      </c>
      <c r="N146" t="s">
        <v>79</v>
      </c>
    </row>
    <row r="147" spans="1:14" x14ac:dyDescent="0.3">
      <c r="A147">
        <v>2146</v>
      </c>
      <c r="B147" s="4">
        <v>45287</v>
      </c>
      <c r="C147">
        <v>2023</v>
      </c>
      <c r="D147" t="s">
        <v>18</v>
      </c>
      <c r="E147" t="s">
        <v>29</v>
      </c>
      <c r="F147" t="s">
        <v>55</v>
      </c>
      <c r="G147" t="s">
        <v>71</v>
      </c>
      <c r="H147">
        <v>16</v>
      </c>
      <c r="I147">
        <v>52.99</v>
      </c>
      <c r="J147">
        <v>847.84</v>
      </c>
      <c r="K147">
        <v>42.78</v>
      </c>
      <c r="L147">
        <v>163.36000000000001</v>
      </c>
      <c r="M147" t="s">
        <v>74</v>
      </c>
      <c r="N147" t="s">
        <v>80</v>
      </c>
    </row>
    <row r="148" spans="1:14" x14ac:dyDescent="0.3">
      <c r="A148">
        <v>2147</v>
      </c>
      <c r="B148" s="4">
        <v>45646</v>
      </c>
      <c r="C148">
        <v>2024</v>
      </c>
      <c r="D148" t="s">
        <v>16</v>
      </c>
      <c r="E148" t="s">
        <v>26</v>
      </c>
      <c r="F148" t="s">
        <v>44</v>
      </c>
      <c r="G148" t="s">
        <v>68</v>
      </c>
      <c r="H148">
        <v>16</v>
      </c>
      <c r="I148">
        <v>123.23</v>
      </c>
      <c r="J148">
        <v>1971.68</v>
      </c>
      <c r="K148">
        <v>110.75</v>
      </c>
      <c r="L148">
        <v>199.68</v>
      </c>
      <c r="M148" t="s">
        <v>75</v>
      </c>
      <c r="N148" t="s">
        <v>80</v>
      </c>
    </row>
    <row r="149" spans="1:14" x14ac:dyDescent="0.3">
      <c r="A149">
        <v>2148</v>
      </c>
      <c r="B149" s="4">
        <v>45365</v>
      </c>
      <c r="C149">
        <v>2024</v>
      </c>
      <c r="D149" t="s">
        <v>22</v>
      </c>
      <c r="E149" t="s">
        <v>38</v>
      </c>
      <c r="F149" t="s">
        <v>58</v>
      </c>
      <c r="G149" t="s">
        <v>68</v>
      </c>
      <c r="H149">
        <v>20</v>
      </c>
      <c r="I149">
        <v>134.88</v>
      </c>
      <c r="J149">
        <v>2697.6</v>
      </c>
      <c r="K149">
        <v>91.04</v>
      </c>
      <c r="L149">
        <v>876.8</v>
      </c>
      <c r="M149" t="s">
        <v>76</v>
      </c>
      <c r="N149" t="s">
        <v>79</v>
      </c>
    </row>
    <row r="150" spans="1:14" x14ac:dyDescent="0.3">
      <c r="A150">
        <v>2149</v>
      </c>
      <c r="B150" s="4">
        <v>45048</v>
      </c>
      <c r="C150">
        <v>2023</v>
      </c>
      <c r="D150" t="s">
        <v>20</v>
      </c>
      <c r="E150" t="s">
        <v>32</v>
      </c>
      <c r="F150" t="s">
        <v>67</v>
      </c>
      <c r="G150" t="s">
        <v>71</v>
      </c>
      <c r="H150">
        <v>19</v>
      </c>
      <c r="I150">
        <v>88.51</v>
      </c>
      <c r="J150">
        <v>1681.69</v>
      </c>
      <c r="K150">
        <v>65.849999999999994</v>
      </c>
      <c r="L150">
        <v>430.54</v>
      </c>
      <c r="M150" t="s">
        <v>75</v>
      </c>
      <c r="N150" t="s">
        <v>79</v>
      </c>
    </row>
    <row r="151" spans="1:14" x14ac:dyDescent="0.3">
      <c r="A151">
        <v>2150</v>
      </c>
      <c r="B151" s="4">
        <v>44875</v>
      </c>
      <c r="C151">
        <v>2022</v>
      </c>
      <c r="D151" t="s">
        <v>15</v>
      </c>
      <c r="E151" t="s">
        <v>28</v>
      </c>
      <c r="F151" t="s">
        <v>64</v>
      </c>
      <c r="G151" t="s">
        <v>70</v>
      </c>
      <c r="H151">
        <v>16</v>
      </c>
      <c r="I151">
        <v>167.79</v>
      </c>
      <c r="J151">
        <v>2684.64</v>
      </c>
      <c r="K151">
        <v>115.5</v>
      </c>
      <c r="L151">
        <v>836.64</v>
      </c>
      <c r="M151" t="s">
        <v>75</v>
      </c>
      <c r="N151" t="s">
        <v>80</v>
      </c>
    </row>
    <row r="152" spans="1:14" x14ac:dyDescent="0.3">
      <c r="A152">
        <v>2151</v>
      </c>
      <c r="B152" s="4">
        <v>44990</v>
      </c>
      <c r="C152">
        <v>2023</v>
      </c>
      <c r="D152" t="s">
        <v>19</v>
      </c>
      <c r="E152" t="s">
        <v>39</v>
      </c>
      <c r="F152" t="s">
        <v>64</v>
      </c>
      <c r="G152" t="s">
        <v>70</v>
      </c>
      <c r="H152">
        <v>1</v>
      </c>
      <c r="I152">
        <v>78.95</v>
      </c>
      <c r="J152">
        <v>78.95</v>
      </c>
      <c r="K152">
        <v>62.55</v>
      </c>
      <c r="L152">
        <v>16.399999999999999</v>
      </c>
      <c r="M152" t="s">
        <v>74</v>
      </c>
      <c r="N152" t="s">
        <v>78</v>
      </c>
    </row>
    <row r="153" spans="1:14" x14ac:dyDescent="0.3">
      <c r="A153">
        <v>2152</v>
      </c>
      <c r="B153" s="4">
        <v>44690</v>
      </c>
      <c r="C153">
        <v>2022</v>
      </c>
      <c r="D153" t="s">
        <v>14</v>
      </c>
      <c r="E153" t="s">
        <v>24</v>
      </c>
      <c r="F153" t="s">
        <v>46</v>
      </c>
      <c r="G153" t="s">
        <v>70</v>
      </c>
      <c r="H153">
        <v>8</v>
      </c>
      <c r="I153">
        <v>186.19</v>
      </c>
      <c r="J153">
        <v>1489.52</v>
      </c>
      <c r="K153">
        <v>155.72</v>
      </c>
      <c r="L153">
        <v>243.76</v>
      </c>
      <c r="M153" t="s">
        <v>75</v>
      </c>
      <c r="N153" t="s">
        <v>79</v>
      </c>
    </row>
    <row r="154" spans="1:14" x14ac:dyDescent="0.3">
      <c r="A154">
        <v>2153</v>
      </c>
      <c r="B154" s="4">
        <v>45078</v>
      </c>
      <c r="C154">
        <v>2023</v>
      </c>
      <c r="D154" t="s">
        <v>20</v>
      </c>
      <c r="E154" t="s">
        <v>32</v>
      </c>
      <c r="F154" t="s">
        <v>58</v>
      </c>
      <c r="G154" t="s">
        <v>68</v>
      </c>
      <c r="H154">
        <v>9</v>
      </c>
      <c r="I154">
        <v>142.76</v>
      </c>
      <c r="J154">
        <v>1284.8399999999999</v>
      </c>
      <c r="K154">
        <v>106.49</v>
      </c>
      <c r="L154">
        <v>326.43</v>
      </c>
      <c r="M154" t="s">
        <v>75</v>
      </c>
      <c r="N154" t="s">
        <v>79</v>
      </c>
    </row>
    <row r="155" spans="1:14" x14ac:dyDescent="0.3">
      <c r="A155">
        <v>2154</v>
      </c>
      <c r="B155" s="4">
        <v>45353</v>
      </c>
      <c r="C155">
        <v>2024</v>
      </c>
      <c r="D155" t="s">
        <v>14</v>
      </c>
      <c r="E155" t="s">
        <v>30</v>
      </c>
      <c r="F155" t="s">
        <v>59</v>
      </c>
      <c r="G155" t="s">
        <v>69</v>
      </c>
      <c r="H155">
        <v>6</v>
      </c>
      <c r="I155">
        <v>155.16</v>
      </c>
      <c r="J155">
        <v>930.96</v>
      </c>
      <c r="K155">
        <v>132.87</v>
      </c>
      <c r="L155">
        <v>133.74</v>
      </c>
      <c r="M155" t="s">
        <v>75</v>
      </c>
      <c r="N155" t="s">
        <v>79</v>
      </c>
    </row>
    <row r="156" spans="1:14" x14ac:dyDescent="0.3">
      <c r="A156">
        <v>2155</v>
      </c>
      <c r="B156" s="4">
        <v>45348</v>
      </c>
      <c r="C156">
        <v>2024</v>
      </c>
      <c r="D156" t="s">
        <v>21</v>
      </c>
      <c r="E156" t="s">
        <v>33</v>
      </c>
      <c r="F156" t="s">
        <v>57</v>
      </c>
      <c r="G156" t="s">
        <v>73</v>
      </c>
      <c r="H156">
        <v>15</v>
      </c>
      <c r="I156">
        <v>157.58000000000001</v>
      </c>
      <c r="J156">
        <v>2363.6999999999998</v>
      </c>
      <c r="K156">
        <v>131.87</v>
      </c>
      <c r="L156">
        <v>385.65</v>
      </c>
      <c r="M156" t="s">
        <v>74</v>
      </c>
      <c r="N156" t="s">
        <v>80</v>
      </c>
    </row>
    <row r="157" spans="1:14" x14ac:dyDescent="0.3">
      <c r="A157">
        <v>2156</v>
      </c>
      <c r="B157" s="4">
        <v>44595</v>
      </c>
      <c r="C157">
        <v>2022</v>
      </c>
      <c r="D157" t="s">
        <v>15</v>
      </c>
      <c r="E157" t="s">
        <v>25</v>
      </c>
      <c r="F157" t="s">
        <v>56</v>
      </c>
      <c r="G157" t="s">
        <v>70</v>
      </c>
      <c r="H157">
        <v>13</v>
      </c>
      <c r="I157">
        <v>90.78</v>
      </c>
      <c r="J157">
        <v>1180.1400000000001</v>
      </c>
      <c r="K157">
        <v>71.03</v>
      </c>
      <c r="L157">
        <v>256.75</v>
      </c>
      <c r="M157" t="s">
        <v>74</v>
      </c>
      <c r="N157" t="s">
        <v>79</v>
      </c>
    </row>
    <row r="158" spans="1:14" x14ac:dyDescent="0.3">
      <c r="A158">
        <v>2157</v>
      </c>
      <c r="B158" s="4">
        <v>44927</v>
      </c>
      <c r="C158">
        <v>2023</v>
      </c>
      <c r="D158" t="s">
        <v>20</v>
      </c>
      <c r="E158" t="s">
        <v>32</v>
      </c>
      <c r="F158" t="s">
        <v>44</v>
      </c>
      <c r="G158" t="s">
        <v>68</v>
      </c>
      <c r="H158">
        <v>13</v>
      </c>
      <c r="I158">
        <v>186.39</v>
      </c>
      <c r="J158">
        <v>2423.0700000000002</v>
      </c>
      <c r="K158">
        <v>139.74</v>
      </c>
      <c r="L158">
        <v>606.45000000000005</v>
      </c>
      <c r="M158" t="s">
        <v>75</v>
      </c>
      <c r="N158" t="s">
        <v>77</v>
      </c>
    </row>
    <row r="159" spans="1:14" x14ac:dyDescent="0.3">
      <c r="A159">
        <v>2158</v>
      </c>
      <c r="B159" s="4">
        <v>45603</v>
      </c>
      <c r="C159">
        <v>2024</v>
      </c>
      <c r="D159" t="s">
        <v>14</v>
      </c>
      <c r="E159" t="s">
        <v>24</v>
      </c>
      <c r="F159" t="s">
        <v>57</v>
      </c>
      <c r="G159" t="s">
        <v>73</v>
      </c>
      <c r="H159">
        <v>15</v>
      </c>
      <c r="I159">
        <v>88.56</v>
      </c>
      <c r="J159">
        <v>1328.4</v>
      </c>
      <c r="K159">
        <v>78.64</v>
      </c>
      <c r="L159">
        <v>148.80000000000001</v>
      </c>
      <c r="M159" t="s">
        <v>76</v>
      </c>
      <c r="N159" t="s">
        <v>78</v>
      </c>
    </row>
    <row r="160" spans="1:14" x14ac:dyDescent="0.3">
      <c r="A160">
        <v>2159</v>
      </c>
      <c r="B160" s="4">
        <v>45165</v>
      </c>
      <c r="C160">
        <v>2023</v>
      </c>
      <c r="D160" t="s">
        <v>23</v>
      </c>
      <c r="E160" t="s">
        <v>37</v>
      </c>
      <c r="F160" t="s">
        <v>61</v>
      </c>
      <c r="G160" t="s">
        <v>68</v>
      </c>
      <c r="H160">
        <v>15</v>
      </c>
      <c r="I160">
        <v>197.01</v>
      </c>
      <c r="J160">
        <v>2955.15</v>
      </c>
      <c r="K160">
        <v>173.33</v>
      </c>
      <c r="L160">
        <v>355.2</v>
      </c>
      <c r="M160" t="s">
        <v>75</v>
      </c>
      <c r="N160" t="s">
        <v>78</v>
      </c>
    </row>
    <row r="161" spans="1:14" x14ac:dyDescent="0.3">
      <c r="A161">
        <v>2160</v>
      </c>
      <c r="B161" s="4">
        <v>44727</v>
      </c>
      <c r="C161">
        <v>2022</v>
      </c>
      <c r="D161" t="s">
        <v>14</v>
      </c>
      <c r="E161" t="s">
        <v>30</v>
      </c>
      <c r="F161" t="s">
        <v>60</v>
      </c>
      <c r="G161" t="s">
        <v>73</v>
      </c>
      <c r="H161">
        <v>18</v>
      </c>
      <c r="I161">
        <v>28.92</v>
      </c>
      <c r="J161">
        <v>520.55999999999995</v>
      </c>
      <c r="K161">
        <v>24.31</v>
      </c>
      <c r="L161">
        <v>82.98</v>
      </c>
      <c r="M161" t="s">
        <v>74</v>
      </c>
      <c r="N161" t="s">
        <v>79</v>
      </c>
    </row>
    <row r="162" spans="1:14" x14ac:dyDescent="0.3">
      <c r="A162">
        <v>2161</v>
      </c>
      <c r="B162" s="4">
        <v>45216</v>
      </c>
      <c r="C162">
        <v>2023</v>
      </c>
      <c r="D162" t="s">
        <v>15</v>
      </c>
      <c r="E162" t="s">
        <v>25</v>
      </c>
      <c r="F162" t="s">
        <v>51</v>
      </c>
      <c r="G162" t="s">
        <v>69</v>
      </c>
      <c r="H162">
        <v>11</v>
      </c>
      <c r="I162">
        <v>132.52000000000001</v>
      </c>
      <c r="J162">
        <v>1457.72</v>
      </c>
      <c r="K162">
        <v>116.64</v>
      </c>
      <c r="L162">
        <v>174.68</v>
      </c>
      <c r="M162" t="s">
        <v>74</v>
      </c>
      <c r="N162" t="s">
        <v>78</v>
      </c>
    </row>
    <row r="163" spans="1:14" x14ac:dyDescent="0.3">
      <c r="A163">
        <v>2162</v>
      </c>
      <c r="B163" s="4">
        <v>44837</v>
      </c>
      <c r="C163">
        <v>2022</v>
      </c>
      <c r="D163" t="s">
        <v>16</v>
      </c>
      <c r="E163" t="s">
        <v>35</v>
      </c>
      <c r="F163" t="s">
        <v>52</v>
      </c>
      <c r="G163" t="s">
        <v>71</v>
      </c>
      <c r="H163">
        <v>13</v>
      </c>
      <c r="I163">
        <v>100.52</v>
      </c>
      <c r="J163">
        <v>1306.76</v>
      </c>
      <c r="K163">
        <v>81.37</v>
      </c>
      <c r="L163">
        <v>248.95</v>
      </c>
      <c r="M163" t="s">
        <v>74</v>
      </c>
      <c r="N163" t="s">
        <v>77</v>
      </c>
    </row>
    <row r="164" spans="1:14" x14ac:dyDescent="0.3">
      <c r="A164">
        <v>2163</v>
      </c>
      <c r="B164" s="4">
        <v>44908</v>
      </c>
      <c r="C164">
        <v>2022</v>
      </c>
      <c r="D164" t="s">
        <v>21</v>
      </c>
      <c r="E164" t="s">
        <v>33</v>
      </c>
      <c r="F164" t="s">
        <v>46</v>
      </c>
      <c r="G164" t="s">
        <v>70</v>
      </c>
      <c r="H164">
        <v>19</v>
      </c>
      <c r="I164">
        <v>149.97</v>
      </c>
      <c r="J164">
        <v>2849.43</v>
      </c>
      <c r="K164">
        <v>115.62</v>
      </c>
      <c r="L164">
        <v>652.65</v>
      </c>
      <c r="M164" t="s">
        <v>74</v>
      </c>
      <c r="N164" t="s">
        <v>78</v>
      </c>
    </row>
    <row r="165" spans="1:14" x14ac:dyDescent="0.3">
      <c r="A165">
        <v>2164</v>
      </c>
      <c r="B165" s="4">
        <v>44757</v>
      </c>
      <c r="C165">
        <v>2022</v>
      </c>
      <c r="D165" t="s">
        <v>22</v>
      </c>
      <c r="E165" t="s">
        <v>38</v>
      </c>
      <c r="F165" t="s">
        <v>51</v>
      </c>
      <c r="G165" t="s">
        <v>69</v>
      </c>
      <c r="H165">
        <v>8</v>
      </c>
      <c r="I165">
        <v>24.26</v>
      </c>
      <c r="J165">
        <v>194.08</v>
      </c>
      <c r="K165">
        <v>20.079999999999998</v>
      </c>
      <c r="L165">
        <v>33.44</v>
      </c>
      <c r="M165" t="s">
        <v>74</v>
      </c>
      <c r="N165" t="s">
        <v>77</v>
      </c>
    </row>
    <row r="166" spans="1:14" x14ac:dyDescent="0.3">
      <c r="A166">
        <v>2165</v>
      </c>
      <c r="B166" s="4">
        <v>45417</v>
      </c>
      <c r="C166">
        <v>2024</v>
      </c>
      <c r="D166" t="s">
        <v>15</v>
      </c>
      <c r="E166" t="s">
        <v>25</v>
      </c>
      <c r="F166" t="s">
        <v>61</v>
      </c>
      <c r="G166" t="s">
        <v>68</v>
      </c>
      <c r="H166">
        <v>12</v>
      </c>
      <c r="I166">
        <v>121.26</v>
      </c>
      <c r="J166">
        <v>1455.12</v>
      </c>
      <c r="K166">
        <v>106.12</v>
      </c>
      <c r="L166">
        <v>181.68</v>
      </c>
      <c r="M166" t="s">
        <v>76</v>
      </c>
      <c r="N166" t="s">
        <v>78</v>
      </c>
    </row>
    <row r="167" spans="1:14" x14ac:dyDescent="0.3">
      <c r="A167">
        <v>2166</v>
      </c>
      <c r="B167" s="4">
        <v>44912</v>
      </c>
      <c r="C167">
        <v>2022</v>
      </c>
      <c r="D167" t="s">
        <v>17</v>
      </c>
      <c r="E167" t="s">
        <v>27</v>
      </c>
      <c r="F167" t="s">
        <v>48</v>
      </c>
      <c r="G167" t="s">
        <v>68</v>
      </c>
      <c r="H167">
        <v>15</v>
      </c>
      <c r="I167">
        <v>65.16</v>
      </c>
      <c r="J167">
        <v>977.4</v>
      </c>
      <c r="K167">
        <v>58.24</v>
      </c>
      <c r="L167">
        <v>103.8</v>
      </c>
      <c r="M167" t="s">
        <v>76</v>
      </c>
      <c r="N167" t="s">
        <v>80</v>
      </c>
    </row>
    <row r="168" spans="1:14" x14ac:dyDescent="0.3">
      <c r="A168">
        <v>2167</v>
      </c>
      <c r="B168" s="4">
        <v>44695</v>
      </c>
      <c r="C168">
        <v>2022</v>
      </c>
      <c r="D168" t="s">
        <v>17</v>
      </c>
      <c r="E168" t="s">
        <v>34</v>
      </c>
      <c r="F168" t="s">
        <v>64</v>
      </c>
      <c r="G168" t="s">
        <v>70</v>
      </c>
      <c r="H168">
        <v>15</v>
      </c>
      <c r="I168">
        <v>69.14</v>
      </c>
      <c r="J168">
        <v>1037.0999999999999</v>
      </c>
      <c r="K168">
        <v>44.09</v>
      </c>
      <c r="L168">
        <v>375.75</v>
      </c>
      <c r="M168" t="s">
        <v>74</v>
      </c>
      <c r="N168" t="s">
        <v>77</v>
      </c>
    </row>
    <row r="169" spans="1:14" x14ac:dyDescent="0.3">
      <c r="A169">
        <v>2168</v>
      </c>
      <c r="B169" s="4">
        <v>44640</v>
      </c>
      <c r="C169">
        <v>2022</v>
      </c>
      <c r="D169" t="s">
        <v>18</v>
      </c>
      <c r="E169" t="s">
        <v>29</v>
      </c>
      <c r="F169" t="s">
        <v>65</v>
      </c>
      <c r="G169" t="s">
        <v>73</v>
      </c>
      <c r="H169">
        <v>16</v>
      </c>
      <c r="I169">
        <v>90.16</v>
      </c>
      <c r="J169">
        <v>1442.56</v>
      </c>
      <c r="K169">
        <v>76.930000000000007</v>
      </c>
      <c r="L169">
        <v>211.68</v>
      </c>
      <c r="M169" t="s">
        <v>75</v>
      </c>
      <c r="N169" t="s">
        <v>80</v>
      </c>
    </row>
    <row r="170" spans="1:14" x14ac:dyDescent="0.3">
      <c r="A170">
        <v>2169</v>
      </c>
      <c r="B170" s="4">
        <v>45267</v>
      </c>
      <c r="C170">
        <v>2023</v>
      </c>
      <c r="D170" t="s">
        <v>20</v>
      </c>
      <c r="E170" t="s">
        <v>32</v>
      </c>
      <c r="F170" t="s">
        <v>60</v>
      </c>
      <c r="G170" t="s">
        <v>73</v>
      </c>
      <c r="H170">
        <v>16</v>
      </c>
      <c r="I170">
        <v>118.65</v>
      </c>
      <c r="J170">
        <v>1898.4</v>
      </c>
      <c r="K170">
        <v>93.31</v>
      </c>
      <c r="L170">
        <v>405.44</v>
      </c>
      <c r="M170" t="s">
        <v>75</v>
      </c>
      <c r="N170" t="s">
        <v>79</v>
      </c>
    </row>
    <row r="171" spans="1:14" x14ac:dyDescent="0.3">
      <c r="A171">
        <v>2170</v>
      </c>
      <c r="B171" s="4">
        <v>45459</v>
      </c>
      <c r="C171">
        <v>2024</v>
      </c>
      <c r="D171" t="s">
        <v>19</v>
      </c>
      <c r="E171" t="s">
        <v>39</v>
      </c>
      <c r="F171" t="s">
        <v>61</v>
      </c>
      <c r="G171" t="s">
        <v>68</v>
      </c>
      <c r="H171">
        <v>15</v>
      </c>
      <c r="I171">
        <v>148.46</v>
      </c>
      <c r="J171">
        <v>2226.9</v>
      </c>
      <c r="K171">
        <v>117.47</v>
      </c>
      <c r="L171">
        <v>464.85</v>
      </c>
      <c r="M171" t="s">
        <v>74</v>
      </c>
      <c r="N171" t="s">
        <v>80</v>
      </c>
    </row>
    <row r="172" spans="1:14" x14ac:dyDescent="0.3">
      <c r="A172">
        <v>2171</v>
      </c>
      <c r="B172" s="4">
        <v>44793</v>
      </c>
      <c r="C172">
        <v>2022</v>
      </c>
      <c r="D172" t="s">
        <v>23</v>
      </c>
      <c r="E172" t="s">
        <v>37</v>
      </c>
      <c r="F172" t="s">
        <v>55</v>
      </c>
      <c r="G172" t="s">
        <v>71</v>
      </c>
      <c r="H172">
        <v>11</v>
      </c>
      <c r="I172">
        <v>120.1</v>
      </c>
      <c r="J172">
        <v>1321.1</v>
      </c>
      <c r="K172">
        <v>78.7</v>
      </c>
      <c r="L172">
        <v>455.4</v>
      </c>
      <c r="M172" t="s">
        <v>74</v>
      </c>
      <c r="N172" t="s">
        <v>78</v>
      </c>
    </row>
    <row r="173" spans="1:14" x14ac:dyDescent="0.3">
      <c r="A173">
        <v>2172</v>
      </c>
      <c r="B173" s="4">
        <v>45042</v>
      </c>
      <c r="C173">
        <v>2023</v>
      </c>
      <c r="D173" t="s">
        <v>18</v>
      </c>
      <c r="E173" t="s">
        <v>29</v>
      </c>
      <c r="F173" t="s">
        <v>48</v>
      </c>
      <c r="G173" t="s">
        <v>68</v>
      </c>
      <c r="H173">
        <v>20</v>
      </c>
      <c r="I173">
        <v>149.83000000000001</v>
      </c>
      <c r="J173">
        <v>2996.6</v>
      </c>
      <c r="K173">
        <v>112.88</v>
      </c>
      <c r="L173">
        <v>739</v>
      </c>
      <c r="M173" t="s">
        <v>76</v>
      </c>
      <c r="N173" t="s">
        <v>80</v>
      </c>
    </row>
    <row r="174" spans="1:14" x14ac:dyDescent="0.3">
      <c r="A174">
        <v>2173</v>
      </c>
      <c r="B174" s="4">
        <v>45439</v>
      </c>
      <c r="C174">
        <v>2024</v>
      </c>
      <c r="D174" t="s">
        <v>20</v>
      </c>
      <c r="E174" t="s">
        <v>40</v>
      </c>
      <c r="F174" t="s">
        <v>45</v>
      </c>
      <c r="G174" t="s">
        <v>69</v>
      </c>
      <c r="H174">
        <v>3</v>
      </c>
      <c r="I174">
        <v>128.66</v>
      </c>
      <c r="J174">
        <v>385.98</v>
      </c>
      <c r="K174">
        <v>78.53</v>
      </c>
      <c r="L174">
        <v>150.38999999999999</v>
      </c>
      <c r="M174" t="s">
        <v>74</v>
      </c>
      <c r="N174" t="s">
        <v>79</v>
      </c>
    </row>
    <row r="175" spans="1:14" x14ac:dyDescent="0.3">
      <c r="A175">
        <v>2174</v>
      </c>
      <c r="B175" s="4">
        <v>44823</v>
      </c>
      <c r="C175">
        <v>2022</v>
      </c>
      <c r="D175" t="s">
        <v>15</v>
      </c>
      <c r="E175" t="s">
        <v>25</v>
      </c>
      <c r="F175" t="s">
        <v>53</v>
      </c>
      <c r="G175" t="s">
        <v>69</v>
      </c>
      <c r="H175">
        <v>12</v>
      </c>
      <c r="I175">
        <v>97.05</v>
      </c>
      <c r="J175">
        <v>1164.5999999999999</v>
      </c>
      <c r="K175">
        <v>76.7</v>
      </c>
      <c r="L175">
        <v>244.2</v>
      </c>
      <c r="M175" t="s">
        <v>75</v>
      </c>
      <c r="N175" t="s">
        <v>80</v>
      </c>
    </row>
    <row r="176" spans="1:14" x14ac:dyDescent="0.3">
      <c r="A176">
        <v>2175</v>
      </c>
      <c r="B176" s="4">
        <v>45126</v>
      </c>
      <c r="C176">
        <v>2023</v>
      </c>
      <c r="D176" t="s">
        <v>16</v>
      </c>
      <c r="E176" t="s">
        <v>26</v>
      </c>
      <c r="F176" t="s">
        <v>56</v>
      </c>
      <c r="G176" t="s">
        <v>70</v>
      </c>
      <c r="H176">
        <v>14</v>
      </c>
      <c r="I176">
        <v>68.53</v>
      </c>
      <c r="J176">
        <v>959.42</v>
      </c>
      <c r="K176">
        <v>59.17</v>
      </c>
      <c r="L176">
        <v>131.04</v>
      </c>
      <c r="M176" t="s">
        <v>76</v>
      </c>
      <c r="N176" t="s">
        <v>80</v>
      </c>
    </row>
    <row r="177" spans="1:14" x14ac:dyDescent="0.3">
      <c r="A177">
        <v>2176</v>
      </c>
      <c r="B177" s="4">
        <v>45628</v>
      </c>
      <c r="C177">
        <v>2024</v>
      </c>
      <c r="D177" t="s">
        <v>15</v>
      </c>
      <c r="E177" t="s">
        <v>28</v>
      </c>
      <c r="F177" t="s">
        <v>64</v>
      </c>
      <c r="G177" t="s">
        <v>70</v>
      </c>
      <c r="H177">
        <v>12</v>
      </c>
      <c r="I177">
        <v>126.34</v>
      </c>
      <c r="J177">
        <v>1516.08</v>
      </c>
      <c r="K177">
        <v>81.89</v>
      </c>
      <c r="L177">
        <v>533.4</v>
      </c>
      <c r="M177" t="s">
        <v>75</v>
      </c>
      <c r="N177" t="s">
        <v>79</v>
      </c>
    </row>
    <row r="178" spans="1:14" x14ac:dyDescent="0.3">
      <c r="A178">
        <v>2177</v>
      </c>
      <c r="B178" s="4">
        <v>45261</v>
      </c>
      <c r="C178">
        <v>2023</v>
      </c>
      <c r="D178" t="s">
        <v>15</v>
      </c>
      <c r="E178" t="s">
        <v>25</v>
      </c>
      <c r="F178" t="s">
        <v>50</v>
      </c>
      <c r="G178" t="s">
        <v>73</v>
      </c>
      <c r="H178">
        <v>4</v>
      </c>
      <c r="I178">
        <v>144.96</v>
      </c>
      <c r="J178">
        <v>579.84</v>
      </c>
      <c r="K178">
        <v>111.28</v>
      </c>
      <c r="L178">
        <v>134.72</v>
      </c>
      <c r="M178" t="s">
        <v>74</v>
      </c>
      <c r="N178" t="s">
        <v>80</v>
      </c>
    </row>
    <row r="179" spans="1:14" x14ac:dyDescent="0.3">
      <c r="A179">
        <v>2178</v>
      </c>
      <c r="B179" s="4">
        <v>44806</v>
      </c>
      <c r="C179">
        <v>2022</v>
      </c>
      <c r="D179" t="s">
        <v>15</v>
      </c>
      <c r="E179" t="s">
        <v>25</v>
      </c>
      <c r="F179" t="s">
        <v>52</v>
      </c>
      <c r="G179" t="s">
        <v>71</v>
      </c>
      <c r="H179">
        <v>6</v>
      </c>
      <c r="I179">
        <v>198.2</v>
      </c>
      <c r="J179">
        <v>1189.2</v>
      </c>
      <c r="K179">
        <v>140.44999999999999</v>
      </c>
      <c r="L179">
        <v>346.5</v>
      </c>
      <c r="M179" t="s">
        <v>74</v>
      </c>
      <c r="N179" t="s">
        <v>78</v>
      </c>
    </row>
    <row r="180" spans="1:14" x14ac:dyDescent="0.3">
      <c r="A180">
        <v>2179</v>
      </c>
      <c r="B180" s="4">
        <v>45583</v>
      </c>
      <c r="C180">
        <v>2024</v>
      </c>
      <c r="D180" t="s">
        <v>22</v>
      </c>
      <c r="E180" t="s">
        <v>36</v>
      </c>
      <c r="F180" t="s">
        <v>47</v>
      </c>
      <c r="G180" t="s">
        <v>71</v>
      </c>
      <c r="H180">
        <v>17</v>
      </c>
      <c r="I180">
        <v>69.569999999999993</v>
      </c>
      <c r="J180">
        <v>1182.69</v>
      </c>
      <c r="K180">
        <v>51.54</v>
      </c>
      <c r="L180">
        <v>306.51</v>
      </c>
      <c r="M180" t="s">
        <v>74</v>
      </c>
      <c r="N180" t="s">
        <v>78</v>
      </c>
    </row>
    <row r="181" spans="1:14" x14ac:dyDescent="0.3">
      <c r="A181">
        <v>2180</v>
      </c>
      <c r="B181" s="4">
        <v>45606</v>
      </c>
      <c r="C181">
        <v>2024</v>
      </c>
      <c r="D181" t="s">
        <v>21</v>
      </c>
      <c r="E181" t="s">
        <v>41</v>
      </c>
      <c r="F181" t="s">
        <v>45</v>
      </c>
      <c r="G181" t="s">
        <v>69</v>
      </c>
      <c r="H181">
        <v>12</v>
      </c>
      <c r="I181">
        <v>48.08</v>
      </c>
      <c r="J181">
        <v>576.96</v>
      </c>
      <c r="K181">
        <v>42.68</v>
      </c>
      <c r="L181">
        <v>64.8</v>
      </c>
      <c r="M181" t="s">
        <v>74</v>
      </c>
      <c r="N181" t="s">
        <v>77</v>
      </c>
    </row>
    <row r="182" spans="1:14" x14ac:dyDescent="0.3">
      <c r="A182">
        <v>2181</v>
      </c>
      <c r="B182" s="4">
        <v>45531</v>
      </c>
      <c r="C182">
        <v>2024</v>
      </c>
      <c r="D182" t="s">
        <v>23</v>
      </c>
      <c r="E182" t="s">
        <v>37</v>
      </c>
      <c r="F182" t="s">
        <v>63</v>
      </c>
      <c r="G182" t="s">
        <v>70</v>
      </c>
      <c r="H182">
        <v>9</v>
      </c>
      <c r="I182">
        <v>42.58</v>
      </c>
      <c r="J182">
        <v>383.22</v>
      </c>
      <c r="K182">
        <v>30.99</v>
      </c>
      <c r="L182">
        <v>104.31</v>
      </c>
      <c r="M182" t="s">
        <v>75</v>
      </c>
      <c r="N182" t="s">
        <v>77</v>
      </c>
    </row>
    <row r="183" spans="1:14" x14ac:dyDescent="0.3">
      <c r="A183">
        <v>2182</v>
      </c>
      <c r="B183" s="4">
        <v>45392</v>
      </c>
      <c r="C183">
        <v>2024</v>
      </c>
      <c r="D183" t="s">
        <v>14</v>
      </c>
      <c r="E183" t="s">
        <v>24</v>
      </c>
      <c r="F183" t="s">
        <v>64</v>
      </c>
      <c r="G183" t="s">
        <v>70</v>
      </c>
      <c r="H183">
        <v>5</v>
      </c>
      <c r="I183">
        <v>39.130000000000003</v>
      </c>
      <c r="J183">
        <v>195.65</v>
      </c>
      <c r="K183">
        <v>32.369999999999997</v>
      </c>
      <c r="L183">
        <v>33.799999999999997</v>
      </c>
      <c r="M183" t="s">
        <v>74</v>
      </c>
      <c r="N183" t="s">
        <v>78</v>
      </c>
    </row>
    <row r="184" spans="1:14" x14ac:dyDescent="0.3">
      <c r="A184">
        <v>2183</v>
      </c>
      <c r="B184" s="4">
        <v>45025</v>
      </c>
      <c r="C184">
        <v>2023</v>
      </c>
      <c r="D184" t="s">
        <v>14</v>
      </c>
      <c r="E184" t="s">
        <v>30</v>
      </c>
      <c r="F184" t="s">
        <v>44</v>
      </c>
      <c r="G184" t="s">
        <v>68</v>
      </c>
      <c r="H184">
        <v>12</v>
      </c>
      <c r="I184">
        <v>191.18</v>
      </c>
      <c r="J184">
        <v>2294.16</v>
      </c>
      <c r="K184">
        <v>132.72</v>
      </c>
      <c r="L184">
        <v>701.52</v>
      </c>
      <c r="M184" t="s">
        <v>76</v>
      </c>
      <c r="N184" t="s">
        <v>77</v>
      </c>
    </row>
    <row r="185" spans="1:14" x14ac:dyDescent="0.3">
      <c r="A185">
        <v>2184</v>
      </c>
      <c r="B185" s="4">
        <v>44919</v>
      </c>
      <c r="C185">
        <v>2022</v>
      </c>
      <c r="D185" t="s">
        <v>14</v>
      </c>
      <c r="E185" t="s">
        <v>24</v>
      </c>
      <c r="F185" t="s">
        <v>46</v>
      </c>
      <c r="G185" t="s">
        <v>70</v>
      </c>
      <c r="H185">
        <v>20</v>
      </c>
      <c r="I185">
        <v>42.78</v>
      </c>
      <c r="J185">
        <v>855.6</v>
      </c>
      <c r="K185">
        <v>35.14</v>
      </c>
      <c r="L185">
        <v>152.80000000000001</v>
      </c>
      <c r="M185" t="s">
        <v>75</v>
      </c>
      <c r="N185" t="s">
        <v>78</v>
      </c>
    </row>
    <row r="186" spans="1:14" x14ac:dyDescent="0.3">
      <c r="A186">
        <v>2185</v>
      </c>
      <c r="B186" s="4">
        <v>45182</v>
      </c>
      <c r="C186">
        <v>2023</v>
      </c>
      <c r="D186" t="s">
        <v>21</v>
      </c>
      <c r="E186" t="s">
        <v>33</v>
      </c>
      <c r="F186" t="s">
        <v>44</v>
      </c>
      <c r="G186" t="s">
        <v>68</v>
      </c>
      <c r="H186">
        <v>12</v>
      </c>
      <c r="I186">
        <v>80.55</v>
      </c>
      <c r="J186">
        <v>966.6</v>
      </c>
      <c r="K186">
        <v>57.06</v>
      </c>
      <c r="L186">
        <v>281.88</v>
      </c>
      <c r="M186" t="s">
        <v>74</v>
      </c>
      <c r="N186" t="s">
        <v>77</v>
      </c>
    </row>
    <row r="187" spans="1:14" x14ac:dyDescent="0.3">
      <c r="A187">
        <v>2186</v>
      </c>
      <c r="B187" s="4">
        <v>45094</v>
      </c>
      <c r="C187">
        <v>2023</v>
      </c>
      <c r="D187" t="s">
        <v>15</v>
      </c>
      <c r="E187" t="s">
        <v>25</v>
      </c>
      <c r="F187" t="s">
        <v>64</v>
      </c>
      <c r="G187" t="s">
        <v>70</v>
      </c>
      <c r="H187">
        <v>6</v>
      </c>
      <c r="I187">
        <v>135.68</v>
      </c>
      <c r="J187">
        <v>814.08</v>
      </c>
      <c r="K187">
        <v>91.91</v>
      </c>
      <c r="L187">
        <v>262.62</v>
      </c>
      <c r="M187" t="s">
        <v>74</v>
      </c>
      <c r="N187" t="s">
        <v>80</v>
      </c>
    </row>
    <row r="188" spans="1:14" x14ac:dyDescent="0.3">
      <c r="A188">
        <v>2187</v>
      </c>
      <c r="B188" s="4">
        <v>44858</v>
      </c>
      <c r="C188">
        <v>2022</v>
      </c>
      <c r="D188" t="s">
        <v>21</v>
      </c>
      <c r="E188" t="s">
        <v>41</v>
      </c>
      <c r="F188" t="s">
        <v>49</v>
      </c>
      <c r="G188" t="s">
        <v>72</v>
      </c>
      <c r="H188">
        <v>10</v>
      </c>
      <c r="I188">
        <v>30.61</v>
      </c>
      <c r="J188">
        <v>306.10000000000002</v>
      </c>
      <c r="K188">
        <v>18.37</v>
      </c>
      <c r="L188">
        <v>122.4</v>
      </c>
      <c r="M188" t="s">
        <v>74</v>
      </c>
      <c r="N188" t="s">
        <v>80</v>
      </c>
    </row>
    <row r="189" spans="1:14" x14ac:dyDescent="0.3">
      <c r="A189">
        <v>2188</v>
      </c>
      <c r="B189" s="4">
        <v>45613</v>
      </c>
      <c r="C189">
        <v>2024</v>
      </c>
      <c r="D189" t="s">
        <v>21</v>
      </c>
      <c r="E189" t="s">
        <v>41</v>
      </c>
      <c r="F189" t="s">
        <v>56</v>
      </c>
      <c r="G189" t="s">
        <v>70</v>
      </c>
      <c r="H189">
        <v>9</v>
      </c>
      <c r="I189">
        <v>36.72</v>
      </c>
      <c r="J189">
        <v>330.48</v>
      </c>
      <c r="K189">
        <v>29.24</v>
      </c>
      <c r="L189">
        <v>67.319999999999993</v>
      </c>
      <c r="M189" t="s">
        <v>75</v>
      </c>
      <c r="N189" t="s">
        <v>79</v>
      </c>
    </row>
    <row r="190" spans="1:14" x14ac:dyDescent="0.3">
      <c r="A190">
        <v>2189</v>
      </c>
      <c r="B190" s="4">
        <v>45466</v>
      </c>
      <c r="C190">
        <v>2024</v>
      </c>
      <c r="D190" t="s">
        <v>14</v>
      </c>
      <c r="E190" t="s">
        <v>24</v>
      </c>
      <c r="F190" t="s">
        <v>46</v>
      </c>
      <c r="G190" t="s">
        <v>70</v>
      </c>
      <c r="H190">
        <v>1</v>
      </c>
      <c r="I190">
        <v>192.06</v>
      </c>
      <c r="J190">
        <v>192.06</v>
      </c>
      <c r="K190">
        <v>140.52000000000001</v>
      </c>
      <c r="L190">
        <v>51.54</v>
      </c>
      <c r="M190" t="s">
        <v>76</v>
      </c>
      <c r="N190" t="s">
        <v>80</v>
      </c>
    </row>
    <row r="191" spans="1:14" x14ac:dyDescent="0.3">
      <c r="A191">
        <v>2190</v>
      </c>
      <c r="B191" s="4">
        <v>44753</v>
      </c>
      <c r="C191">
        <v>2022</v>
      </c>
      <c r="D191" t="s">
        <v>17</v>
      </c>
      <c r="E191" t="s">
        <v>27</v>
      </c>
      <c r="F191" t="s">
        <v>59</v>
      </c>
      <c r="G191" t="s">
        <v>69</v>
      </c>
      <c r="H191">
        <v>16</v>
      </c>
      <c r="I191">
        <v>75.91</v>
      </c>
      <c r="J191">
        <v>1214.56</v>
      </c>
      <c r="K191">
        <v>57.14</v>
      </c>
      <c r="L191">
        <v>300.32</v>
      </c>
      <c r="M191" t="s">
        <v>76</v>
      </c>
      <c r="N191" t="s">
        <v>77</v>
      </c>
    </row>
    <row r="192" spans="1:14" x14ac:dyDescent="0.3">
      <c r="A192">
        <v>2191</v>
      </c>
      <c r="B192" s="4">
        <v>44872</v>
      </c>
      <c r="C192">
        <v>2022</v>
      </c>
      <c r="D192" t="s">
        <v>23</v>
      </c>
      <c r="E192" t="s">
        <v>37</v>
      </c>
      <c r="F192" t="s">
        <v>48</v>
      </c>
      <c r="G192" t="s">
        <v>68</v>
      </c>
      <c r="H192">
        <v>18</v>
      </c>
      <c r="I192">
        <v>39.58</v>
      </c>
      <c r="J192">
        <v>712.44</v>
      </c>
      <c r="K192">
        <v>34.08</v>
      </c>
      <c r="L192">
        <v>99</v>
      </c>
      <c r="M192" t="s">
        <v>74</v>
      </c>
      <c r="N192" t="s">
        <v>78</v>
      </c>
    </row>
    <row r="193" spans="1:14" x14ac:dyDescent="0.3">
      <c r="A193">
        <v>2192</v>
      </c>
      <c r="B193" s="4">
        <v>45121</v>
      </c>
      <c r="C193">
        <v>2023</v>
      </c>
      <c r="D193" t="s">
        <v>18</v>
      </c>
      <c r="E193" t="s">
        <v>29</v>
      </c>
      <c r="F193" t="s">
        <v>61</v>
      </c>
      <c r="G193" t="s">
        <v>68</v>
      </c>
      <c r="H193">
        <v>5</v>
      </c>
      <c r="I193">
        <v>130.22</v>
      </c>
      <c r="J193">
        <v>651.1</v>
      </c>
      <c r="K193">
        <v>102.9</v>
      </c>
      <c r="L193">
        <v>136.6</v>
      </c>
      <c r="M193" t="s">
        <v>75</v>
      </c>
      <c r="N193" t="s">
        <v>79</v>
      </c>
    </row>
    <row r="194" spans="1:14" x14ac:dyDescent="0.3">
      <c r="A194">
        <v>2193</v>
      </c>
      <c r="B194" s="4">
        <v>45486</v>
      </c>
      <c r="C194">
        <v>2024</v>
      </c>
      <c r="D194" t="s">
        <v>20</v>
      </c>
      <c r="E194" t="s">
        <v>32</v>
      </c>
      <c r="F194" t="s">
        <v>47</v>
      </c>
      <c r="G194" t="s">
        <v>71</v>
      </c>
      <c r="H194">
        <v>4</v>
      </c>
      <c r="I194">
        <v>172.93</v>
      </c>
      <c r="J194">
        <v>691.72</v>
      </c>
      <c r="K194">
        <v>125.59</v>
      </c>
      <c r="L194">
        <v>189.36</v>
      </c>
      <c r="M194" t="s">
        <v>75</v>
      </c>
      <c r="N194" t="s">
        <v>80</v>
      </c>
    </row>
    <row r="195" spans="1:14" x14ac:dyDescent="0.3">
      <c r="A195">
        <v>2194</v>
      </c>
      <c r="B195" s="4">
        <v>44884</v>
      </c>
      <c r="C195">
        <v>2022</v>
      </c>
      <c r="D195" t="s">
        <v>20</v>
      </c>
      <c r="E195" t="s">
        <v>40</v>
      </c>
      <c r="F195" t="s">
        <v>56</v>
      </c>
      <c r="G195" t="s">
        <v>70</v>
      </c>
      <c r="H195">
        <v>8</v>
      </c>
      <c r="I195">
        <v>93.9</v>
      </c>
      <c r="J195">
        <v>751.2</v>
      </c>
      <c r="K195">
        <v>62.99</v>
      </c>
      <c r="L195">
        <v>247.28</v>
      </c>
      <c r="M195" t="s">
        <v>75</v>
      </c>
      <c r="N195" t="s">
        <v>77</v>
      </c>
    </row>
    <row r="196" spans="1:14" x14ac:dyDescent="0.3">
      <c r="A196">
        <v>2195</v>
      </c>
      <c r="B196" s="4">
        <v>45485</v>
      </c>
      <c r="C196">
        <v>2024</v>
      </c>
      <c r="D196" t="s">
        <v>21</v>
      </c>
      <c r="E196" t="s">
        <v>33</v>
      </c>
      <c r="F196" t="s">
        <v>66</v>
      </c>
      <c r="G196" t="s">
        <v>72</v>
      </c>
      <c r="H196">
        <v>11</v>
      </c>
      <c r="I196">
        <v>115.84</v>
      </c>
      <c r="J196">
        <v>1274.24</v>
      </c>
      <c r="K196">
        <v>98.29</v>
      </c>
      <c r="L196">
        <v>193.05</v>
      </c>
      <c r="M196" t="s">
        <v>74</v>
      </c>
      <c r="N196" t="s">
        <v>78</v>
      </c>
    </row>
    <row r="197" spans="1:14" x14ac:dyDescent="0.3">
      <c r="A197">
        <v>2196</v>
      </c>
      <c r="B197" s="4">
        <v>44847</v>
      </c>
      <c r="C197">
        <v>2022</v>
      </c>
      <c r="D197" t="s">
        <v>21</v>
      </c>
      <c r="E197" t="s">
        <v>33</v>
      </c>
      <c r="F197" t="s">
        <v>56</v>
      </c>
      <c r="G197" t="s">
        <v>70</v>
      </c>
      <c r="H197">
        <v>20</v>
      </c>
      <c r="I197">
        <v>75.010000000000005</v>
      </c>
      <c r="J197">
        <v>1500.2</v>
      </c>
      <c r="K197">
        <v>53.33</v>
      </c>
      <c r="L197">
        <v>433.6</v>
      </c>
      <c r="M197" t="s">
        <v>75</v>
      </c>
      <c r="N197" t="s">
        <v>78</v>
      </c>
    </row>
    <row r="198" spans="1:14" x14ac:dyDescent="0.3">
      <c r="A198">
        <v>2197</v>
      </c>
      <c r="B198" s="4">
        <v>45105</v>
      </c>
      <c r="C198">
        <v>2023</v>
      </c>
      <c r="D198" t="s">
        <v>21</v>
      </c>
      <c r="E198" t="s">
        <v>41</v>
      </c>
      <c r="F198" t="s">
        <v>62</v>
      </c>
      <c r="G198" t="s">
        <v>72</v>
      </c>
      <c r="H198">
        <v>11</v>
      </c>
      <c r="I198">
        <v>164.48</v>
      </c>
      <c r="J198">
        <v>1809.28</v>
      </c>
      <c r="K198">
        <v>139.03</v>
      </c>
      <c r="L198">
        <v>279.95</v>
      </c>
      <c r="M198" t="s">
        <v>74</v>
      </c>
      <c r="N198" t="s">
        <v>80</v>
      </c>
    </row>
    <row r="199" spans="1:14" x14ac:dyDescent="0.3">
      <c r="A199">
        <v>2198</v>
      </c>
      <c r="B199" s="4">
        <v>44700</v>
      </c>
      <c r="C199">
        <v>2022</v>
      </c>
      <c r="D199" t="s">
        <v>14</v>
      </c>
      <c r="E199" t="s">
        <v>24</v>
      </c>
      <c r="F199" t="s">
        <v>49</v>
      </c>
      <c r="G199" t="s">
        <v>72</v>
      </c>
      <c r="H199">
        <v>6</v>
      </c>
      <c r="I199">
        <v>190.56</v>
      </c>
      <c r="J199">
        <v>1143.3599999999999</v>
      </c>
      <c r="K199">
        <v>125.78</v>
      </c>
      <c r="L199">
        <v>388.68</v>
      </c>
      <c r="M199" t="s">
        <v>75</v>
      </c>
      <c r="N199" t="s">
        <v>79</v>
      </c>
    </row>
    <row r="200" spans="1:14" x14ac:dyDescent="0.3">
      <c r="A200">
        <v>2199</v>
      </c>
      <c r="B200" s="4">
        <v>45037</v>
      </c>
      <c r="C200">
        <v>2023</v>
      </c>
      <c r="D200" t="s">
        <v>21</v>
      </c>
      <c r="E200" t="s">
        <v>33</v>
      </c>
      <c r="F200" t="s">
        <v>50</v>
      </c>
      <c r="G200" t="s">
        <v>73</v>
      </c>
      <c r="H200">
        <v>5</v>
      </c>
      <c r="I200">
        <v>28</v>
      </c>
      <c r="J200">
        <v>140</v>
      </c>
      <c r="K200">
        <v>22.02</v>
      </c>
      <c r="L200">
        <v>29.9</v>
      </c>
      <c r="M200" t="s">
        <v>76</v>
      </c>
      <c r="N200" t="s">
        <v>80</v>
      </c>
    </row>
    <row r="201" spans="1:14" x14ac:dyDescent="0.3">
      <c r="A201">
        <v>2200</v>
      </c>
      <c r="B201" s="4">
        <v>45357</v>
      </c>
      <c r="C201">
        <v>2024</v>
      </c>
      <c r="D201" t="s">
        <v>19</v>
      </c>
      <c r="E201" t="s">
        <v>42</v>
      </c>
      <c r="F201" t="s">
        <v>57</v>
      </c>
      <c r="G201" t="s">
        <v>73</v>
      </c>
      <c r="H201">
        <v>15</v>
      </c>
      <c r="I201">
        <v>68.41</v>
      </c>
      <c r="J201">
        <v>1026.1500000000001</v>
      </c>
      <c r="K201">
        <v>44.27</v>
      </c>
      <c r="L201">
        <v>362.1</v>
      </c>
      <c r="M201" t="s">
        <v>76</v>
      </c>
      <c r="N201" t="s">
        <v>80</v>
      </c>
    </row>
    <row r="202" spans="1:14" x14ac:dyDescent="0.3">
      <c r="A202">
        <v>2201</v>
      </c>
      <c r="B202" s="4">
        <v>45605</v>
      </c>
      <c r="C202">
        <v>2024</v>
      </c>
      <c r="D202" t="s">
        <v>19</v>
      </c>
      <c r="E202" t="s">
        <v>39</v>
      </c>
      <c r="F202" t="s">
        <v>49</v>
      </c>
      <c r="G202" t="s">
        <v>72</v>
      </c>
      <c r="H202">
        <v>13</v>
      </c>
      <c r="I202">
        <v>118.65</v>
      </c>
      <c r="J202">
        <v>1542.45</v>
      </c>
      <c r="K202">
        <v>87.44</v>
      </c>
      <c r="L202">
        <v>405.73</v>
      </c>
      <c r="M202" t="s">
        <v>76</v>
      </c>
      <c r="N202" t="s">
        <v>80</v>
      </c>
    </row>
    <row r="203" spans="1:14" x14ac:dyDescent="0.3">
      <c r="A203">
        <v>2202</v>
      </c>
      <c r="B203" s="4">
        <v>45218</v>
      </c>
      <c r="C203">
        <v>2023</v>
      </c>
      <c r="D203" t="s">
        <v>20</v>
      </c>
      <c r="E203" t="s">
        <v>32</v>
      </c>
      <c r="F203" t="s">
        <v>55</v>
      </c>
      <c r="G203" t="s">
        <v>71</v>
      </c>
      <c r="H203">
        <v>6</v>
      </c>
      <c r="I203">
        <v>146.30000000000001</v>
      </c>
      <c r="J203">
        <v>877.8</v>
      </c>
      <c r="K203">
        <v>111.59</v>
      </c>
      <c r="L203">
        <v>208.26</v>
      </c>
      <c r="M203" t="s">
        <v>75</v>
      </c>
      <c r="N203" t="s">
        <v>78</v>
      </c>
    </row>
    <row r="204" spans="1:14" x14ac:dyDescent="0.3">
      <c r="A204">
        <v>2203</v>
      </c>
      <c r="B204" s="4">
        <v>45134</v>
      </c>
      <c r="C204">
        <v>2023</v>
      </c>
      <c r="D204" t="s">
        <v>21</v>
      </c>
      <c r="E204" t="s">
        <v>33</v>
      </c>
      <c r="F204" t="s">
        <v>62</v>
      </c>
      <c r="G204" t="s">
        <v>72</v>
      </c>
      <c r="H204">
        <v>1</v>
      </c>
      <c r="I204">
        <v>161.47999999999999</v>
      </c>
      <c r="J204">
        <v>161.47999999999999</v>
      </c>
      <c r="K204">
        <v>135.05000000000001</v>
      </c>
      <c r="L204">
        <v>26.43</v>
      </c>
      <c r="M204" t="s">
        <v>74</v>
      </c>
      <c r="N204" t="s">
        <v>79</v>
      </c>
    </row>
    <row r="205" spans="1:14" x14ac:dyDescent="0.3">
      <c r="A205">
        <v>2204</v>
      </c>
      <c r="B205" s="4">
        <v>44618</v>
      </c>
      <c r="C205">
        <v>2022</v>
      </c>
      <c r="D205" t="s">
        <v>17</v>
      </c>
      <c r="E205" t="s">
        <v>34</v>
      </c>
      <c r="F205" t="s">
        <v>66</v>
      </c>
      <c r="G205" t="s">
        <v>72</v>
      </c>
      <c r="H205">
        <v>11</v>
      </c>
      <c r="I205">
        <v>144.11000000000001</v>
      </c>
      <c r="J205">
        <v>1585.21</v>
      </c>
      <c r="K205">
        <v>92.34</v>
      </c>
      <c r="L205">
        <v>569.47</v>
      </c>
      <c r="M205" t="s">
        <v>74</v>
      </c>
      <c r="N205" t="s">
        <v>78</v>
      </c>
    </row>
    <row r="206" spans="1:14" x14ac:dyDescent="0.3">
      <c r="A206">
        <v>2205</v>
      </c>
      <c r="B206" s="4">
        <v>45222</v>
      </c>
      <c r="C206">
        <v>2023</v>
      </c>
      <c r="D206" t="s">
        <v>18</v>
      </c>
      <c r="E206" t="s">
        <v>29</v>
      </c>
      <c r="F206" t="s">
        <v>66</v>
      </c>
      <c r="G206" t="s">
        <v>72</v>
      </c>
      <c r="H206">
        <v>1</v>
      </c>
      <c r="I206">
        <v>183.37</v>
      </c>
      <c r="J206">
        <v>183.37</v>
      </c>
      <c r="K206">
        <v>144.71</v>
      </c>
      <c r="L206">
        <v>38.659999999999997</v>
      </c>
      <c r="M206" t="s">
        <v>74</v>
      </c>
      <c r="N206" t="s">
        <v>78</v>
      </c>
    </row>
    <row r="207" spans="1:14" x14ac:dyDescent="0.3">
      <c r="A207">
        <v>2206</v>
      </c>
      <c r="B207" s="4">
        <v>44808</v>
      </c>
      <c r="C207">
        <v>2022</v>
      </c>
      <c r="D207" t="s">
        <v>17</v>
      </c>
      <c r="E207" t="s">
        <v>34</v>
      </c>
      <c r="F207" t="s">
        <v>54</v>
      </c>
      <c r="G207" t="s">
        <v>72</v>
      </c>
      <c r="H207">
        <v>9</v>
      </c>
      <c r="I207">
        <v>57.91</v>
      </c>
      <c r="J207">
        <v>521.19000000000005</v>
      </c>
      <c r="K207">
        <v>51.05</v>
      </c>
      <c r="L207">
        <v>61.74</v>
      </c>
      <c r="M207" t="s">
        <v>74</v>
      </c>
      <c r="N207" t="s">
        <v>77</v>
      </c>
    </row>
    <row r="208" spans="1:14" x14ac:dyDescent="0.3">
      <c r="A208">
        <v>2207</v>
      </c>
      <c r="B208" s="4">
        <v>45453</v>
      </c>
      <c r="C208">
        <v>2024</v>
      </c>
      <c r="D208" t="s">
        <v>17</v>
      </c>
      <c r="E208" t="s">
        <v>34</v>
      </c>
      <c r="F208" t="s">
        <v>55</v>
      </c>
      <c r="G208" t="s">
        <v>71</v>
      </c>
      <c r="H208">
        <v>3</v>
      </c>
      <c r="I208">
        <v>42.43</v>
      </c>
      <c r="J208">
        <v>127.29</v>
      </c>
      <c r="K208">
        <v>28.71</v>
      </c>
      <c r="L208">
        <v>41.16</v>
      </c>
      <c r="M208" t="s">
        <v>74</v>
      </c>
      <c r="N208" t="s">
        <v>78</v>
      </c>
    </row>
    <row r="209" spans="1:14" x14ac:dyDescent="0.3">
      <c r="A209">
        <v>2208</v>
      </c>
      <c r="B209" s="4">
        <v>45403</v>
      </c>
      <c r="C209">
        <v>2024</v>
      </c>
      <c r="D209" t="s">
        <v>21</v>
      </c>
      <c r="E209" t="s">
        <v>33</v>
      </c>
      <c r="F209" t="s">
        <v>62</v>
      </c>
      <c r="G209" t="s">
        <v>72</v>
      </c>
      <c r="H209">
        <v>1</v>
      </c>
      <c r="I209">
        <v>49.41</v>
      </c>
      <c r="J209">
        <v>49.41</v>
      </c>
      <c r="K209">
        <v>40.74</v>
      </c>
      <c r="L209">
        <v>8.67</v>
      </c>
      <c r="M209" t="s">
        <v>76</v>
      </c>
      <c r="N209" t="s">
        <v>77</v>
      </c>
    </row>
    <row r="210" spans="1:14" x14ac:dyDescent="0.3">
      <c r="A210">
        <v>2209</v>
      </c>
      <c r="B210" s="4">
        <v>45319</v>
      </c>
      <c r="C210">
        <v>2024</v>
      </c>
      <c r="D210" t="s">
        <v>17</v>
      </c>
      <c r="E210" t="s">
        <v>34</v>
      </c>
      <c r="F210" t="s">
        <v>54</v>
      </c>
      <c r="G210" t="s">
        <v>72</v>
      </c>
      <c r="H210">
        <v>17</v>
      </c>
      <c r="I210">
        <v>142.31</v>
      </c>
      <c r="J210">
        <v>2419.27</v>
      </c>
      <c r="K210">
        <v>127.08</v>
      </c>
      <c r="L210">
        <v>258.91000000000003</v>
      </c>
      <c r="M210" t="s">
        <v>74</v>
      </c>
      <c r="N210" t="s">
        <v>78</v>
      </c>
    </row>
    <row r="211" spans="1:14" x14ac:dyDescent="0.3">
      <c r="A211">
        <v>2210</v>
      </c>
      <c r="B211" s="4">
        <v>45640</v>
      </c>
      <c r="C211">
        <v>2024</v>
      </c>
      <c r="D211" t="s">
        <v>21</v>
      </c>
      <c r="E211" t="s">
        <v>33</v>
      </c>
      <c r="F211" t="s">
        <v>51</v>
      </c>
      <c r="G211" t="s">
        <v>69</v>
      </c>
      <c r="H211">
        <v>18</v>
      </c>
      <c r="I211">
        <v>114.5</v>
      </c>
      <c r="J211">
        <v>2061</v>
      </c>
      <c r="K211">
        <v>102.5</v>
      </c>
      <c r="L211">
        <v>216</v>
      </c>
      <c r="M211" t="s">
        <v>76</v>
      </c>
      <c r="N211" t="s">
        <v>79</v>
      </c>
    </row>
    <row r="212" spans="1:14" x14ac:dyDescent="0.3">
      <c r="A212">
        <v>2211</v>
      </c>
      <c r="B212" s="4">
        <v>45182</v>
      </c>
      <c r="C212">
        <v>2023</v>
      </c>
      <c r="D212" t="s">
        <v>22</v>
      </c>
      <c r="E212" t="s">
        <v>36</v>
      </c>
      <c r="F212" t="s">
        <v>67</v>
      </c>
      <c r="G212" t="s">
        <v>71</v>
      </c>
      <c r="H212">
        <v>6</v>
      </c>
      <c r="I212">
        <v>43.35</v>
      </c>
      <c r="J212">
        <v>260.10000000000002</v>
      </c>
      <c r="K212">
        <v>30.06</v>
      </c>
      <c r="L212">
        <v>79.739999999999995</v>
      </c>
      <c r="M212" t="s">
        <v>75</v>
      </c>
      <c r="N212" t="s">
        <v>77</v>
      </c>
    </row>
    <row r="213" spans="1:14" x14ac:dyDescent="0.3">
      <c r="A213">
        <v>2212</v>
      </c>
      <c r="B213" s="4">
        <v>45506</v>
      </c>
      <c r="C213">
        <v>2024</v>
      </c>
      <c r="D213" t="s">
        <v>18</v>
      </c>
      <c r="E213" t="s">
        <v>29</v>
      </c>
      <c r="F213" t="s">
        <v>48</v>
      </c>
      <c r="G213" t="s">
        <v>68</v>
      </c>
      <c r="H213">
        <v>18</v>
      </c>
      <c r="I213">
        <v>131.66999999999999</v>
      </c>
      <c r="J213">
        <v>2370.06</v>
      </c>
      <c r="K213">
        <v>88.31</v>
      </c>
      <c r="L213">
        <v>780.48</v>
      </c>
      <c r="M213" t="s">
        <v>75</v>
      </c>
      <c r="N213" t="s">
        <v>80</v>
      </c>
    </row>
    <row r="214" spans="1:14" x14ac:dyDescent="0.3">
      <c r="A214">
        <v>2213</v>
      </c>
      <c r="B214" s="4">
        <v>44985</v>
      </c>
      <c r="C214">
        <v>2023</v>
      </c>
      <c r="D214" t="s">
        <v>19</v>
      </c>
      <c r="E214" t="s">
        <v>42</v>
      </c>
      <c r="F214" t="s">
        <v>47</v>
      </c>
      <c r="G214" t="s">
        <v>71</v>
      </c>
      <c r="H214">
        <v>4</v>
      </c>
      <c r="I214">
        <v>69.680000000000007</v>
      </c>
      <c r="J214">
        <v>278.72000000000003</v>
      </c>
      <c r="K214">
        <v>58.39</v>
      </c>
      <c r="L214">
        <v>45.16</v>
      </c>
      <c r="M214" t="s">
        <v>74</v>
      </c>
      <c r="N214" t="s">
        <v>79</v>
      </c>
    </row>
    <row r="215" spans="1:14" x14ac:dyDescent="0.3">
      <c r="A215">
        <v>2214</v>
      </c>
      <c r="B215" s="4">
        <v>45396</v>
      </c>
      <c r="C215">
        <v>2024</v>
      </c>
      <c r="D215" t="s">
        <v>19</v>
      </c>
      <c r="E215" t="s">
        <v>39</v>
      </c>
      <c r="F215" t="s">
        <v>56</v>
      </c>
      <c r="G215" t="s">
        <v>70</v>
      </c>
      <c r="H215">
        <v>7</v>
      </c>
      <c r="I215">
        <v>140.97999999999999</v>
      </c>
      <c r="J215">
        <v>986.86</v>
      </c>
      <c r="K215">
        <v>113.49</v>
      </c>
      <c r="L215">
        <v>192.43</v>
      </c>
      <c r="M215" t="s">
        <v>74</v>
      </c>
      <c r="N215" t="s">
        <v>77</v>
      </c>
    </row>
    <row r="216" spans="1:14" x14ac:dyDescent="0.3">
      <c r="A216">
        <v>2215</v>
      </c>
      <c r="B216" s="4">
        <v>45456</v>
      </c>
      <c r="C216">
        <v>2024</v>
      </c>
      <c r="D216" t="s">
        <v>16</v>
      </c>
      <c r="E216" t="s">
        <v>35</v>
      </c>
      <c r="F216" t="s">
        <v>58</v>
      </c>
      <c r="G216" t="s">
        <v>68</v>
      </c>
      <c r="H216">
        <v>5</v>
      </c>
      <c r="I216">
        <v>119.78</v>
      </c>
      <c r="J216">
        <v>598.9</v>
      </c>
      <c r="K216">
        <v>74.73</v>
      </c>
      <c r="L216">
        <v>225.25</v>
      </c>
      <c r="M216" t="s">
        <v>76</v>
      </c>
      <c r="N216" t="s">
        <v>79</v>
      </c>
    </row>
    <row r="217" spans="1:14" x14ac:dyDescent="0.3">
      <c r="A217">
        <v>2216</v>
      </c>
      <c r="B217" s="4">
        <v>45352</v>
      </c>
      <c r="C217">
        <v>2024</v>
      </c>
      <c r="D217" t="s">
        <v>17</v>
      </c>
      <c r="E217" t="s">
        <v>27</v>
      </c>
      <c r="F217" t="s">
        <v>53</v>
      </c>
      <c r="G217" t="s">
        <v>69</v>
      </c>
      <c r="H217">
        <v>9</v>
      </c>
      <c r="I217">
        <v>148.85</v>
      </c>
      <c r="J217">
        <v>1339.65</v>
      </c>
      <c r="K217">
        <v>91.89</v>
      </c>
      <c r="L217">
        <v>512.64</v>
      </c>
      <c r="M217" t="s">
        <v>75</v>
      </c>
      <c r="N217" t="s">
        <v>77</v>
      </c>
    </row>
    <row r="218" spans="1:14" x14ac:dyDescent="0.3">
      <c r="A218">
        <v>2217</v>
      </c>
      <c r="B218" s="4">
        <v>45211</v>
      </c>
      <c r="C218">
        <v>2023</v>
      </c>
      <c r="D218" t="s">
        <v>20</v>
      </c>
      <c r="E218" t="s">
        <v>40</v>
      </c>
      <c r="F218" t="s">
        <v>67</v>
      </c>
      <c r="G218" t="s">
        <v>71</v>
      </c>
      <c r="H218">
        <v>8</v>
      </c>
      <c r="I218">
        <v>56.5</v>
      </c>
      <c r="J218">
        <v>452</v>
      </c>
      <c r="K218">
        <v>48.78</v>
      </c>
      <c r="L218">
        <v>61.76</v>
      </c>
      <c r="M218" t="s">
        <v>76</v>
      </c>
      <c r="N218" t="s">
        <v>78</v>
      </c>
    </row>
    <row r="219" spans="1:14" x14ac:dyDescent="0.3">
      <c r="A219">
        <v>2218</v>
      </c>
      <c r="B219" s="4">
        <v>45496</v>
      </c>
      <c r="C219">
        <v>2024</v>
      </c>
      <c r="D219" t="s">
        <v>18</v>
      </c>
      <c r="E219" t="s">
        <v>29</v>
      </c>
      <c r="F219" t="s">
        <v>54</v>
      </c>
      <c r="G219" t="s">
        <v>72</v>
      </c>
      <c r="H219">
        <v>19</v>
      </c>
      <c r="I219">
        <v>184.25</v>
      </c>
      <c r="J219">
        <v>3500.75</v>
      </c>
      <c r="K219">
        <v>138.41999999999999</v>
      </c>
      <c r="L219">
        <v>870.77</v>
      </c>
      <c r="M219" t="s">
        <v>74</v>
      </c>
      <c r="N219" t="s">
        <v>77</v>
      </c>
    </row>
    <row r="220" spans="1:14" x14ac:dyDescent="0.3">
      <c r="A220">
        <v>2219</v>
      </c>
      <c r="B220" s="4">
        <v>44929</v>
      </c>
      <c r="C220">
        <v>2023</v>
      </c>
      <c r="D220" t="s">
        <v>20</v>
      </c>
      <c r="E220" t="s">
        <v>32</v>
      </c>
      <c r="F220" t="s">
        <v>48</v>
      </c>
      <c r="G220" t="s">
        <v>68</v>
      </c>
      <c r="H220">
        <v>13</v>
      </c>
      <c r="I220">
        <v>49.98</v>
      </c>
      <c r="J220">
        <v>649.74</v>
      </c>
      <c r="K220">
        <v>44.43</v>
      </c>
      <c r="L220">
        <v>72.150000000000006</v>
      </c>
      <c r="M220" t="s">
        <v>74</v>
      </c>
      <c r="N220" t="s">
        <v>79</v>
      </c>
    </row>
    <row r="221" spans="1:14" x14ac:dyDescent="0.3">
      <c r="A221">
        <v>2220</v>
      </c>
      <c r="B221" s="4">
        <v>45060</v>
      </c>
      <c r="C221">
        <v>2023</v>
      </c>
      <c r="D221" t="s">
        <v>18</v>
      </c>
      <c r="E221" t="s">
        <v>29</v>
      </c>
      <c r="F221" t="s">
        <v>61</v>
      </c>
      <c r="G221" t="s">
        <v>68</v>
      </c>
      <c r="H221">
        <v>3</v>
      </c>
      <c r="I221">
        <v>21.37</v>
      </c>
      <c r="J221">
        <v>64.11</v>
      </c>
      <c r="K221">
        <v>14.29</v>
      </c>
      <c r="L221">
        <v>21.24</v>
      </c>
      <c r="M221" t="s">
        <v>75</v>
      </c>
      <c r="N221" t="s">
        <v>80</v>
      </c>
    </row>
    <row r="222" spans="1:14" x14ac:dyDescent="0.3">
      <c r="A222">
        <v>2221</v>
      </c>
      <c r="B222" s="4">
        <v>44939</v>
      </c>
      <c r="C222">
        <v>2023</v>
      </c>
      <c r="D222" t="s">
        <v>14</v>
      </c>
      <c r="E222" t="s">
        <v>30</v>
      </c>
      <c r="F222" t="s">
        <v>67</v>
      </c>
      <c r="G222" t="s">
        <v>71</v>
      </c>
      <c r="H222">
        <v>6</v>
      </c>
      <c r="I222">
        <v>62.55</v>
      </c>
      <c r="J222">
        <v>375.3</v>
      </c>
      <c r="K222">
        <v>54.36</v>
      </c>
      <c r="L222">
        <v>49.14</v>
      </c>
      <c r="M222" t="s">
        <v>74</v>
      </c>
      <c r="N222" t="s">
        <v>78</v>
      </c>
    </row>
    <row r="223" spans="1:14" x14ac:dyDescent="0.3">
      <c r="A223">
        <v>2222</v>
      </c>
      <c r="B223" s="4">
        <v>44999</v>
      </c>
      <c r="C223">
        <v>2023</v>
      </c>
      <c r="D223" t="s">
        <v>23</v>
      </c>
      <c r="E223" t="s">
        <v>37</v>
      </c>
      <c r="F223" t="s">
        <v>56</v>
      </c>
      <c r="G223" t="s">
        <v>70</v>
      </c>
      <c r="H223">
        <v>10</v>
      </c>
      <c r="I223">
        <v>199.42</v>
      </c>
      <c r="J223">
        <v>1994.2</v>
      </c>
      <c r="K223">
        <v>172.34</v>
      </c>
      <c r="L223">
        <v>270.8</v>
      </c>
      <c r="M223" t="s">
        <v>76</v>
      </c>
      <c r="N223" t="s">
        <v>78</v>
      </c>
    </row>
    <row r="224" spans="1:14" x14ac:dyDescent="0.3">
      <c r="A224">
        <v>2223</v>
      </c>
      <c r="B224" s="4">
        <v>44589</v>
      </c>
      <c r="C224">
        <v>2022</v>
      </c>
      <c r="D224" t="s">
        <v>14</v>
      </c>
      <c r="E224" t="s">
        <v>24</v>
      </c>
      <c r="F224" t="s">
        <v>63</v>
      </c>
      <c r="G224" t="s">
        <v>70</v>
      </c>
      <c r="H224">
        <v>7</v>
      </c>
      <c r="I224">
        <v>54.79</v>
      </c>
      <c r="J224">
        <v>383.53</v>
      </c>
      <c r="K224">
        <v>46.97</v>
      </c>
      <c r="L224">
        <v>54.74</v>
      </c>
      <c r="M224" t="s">
        <v>76</v>
      </c>
      <c r="N224" t="s">
        <v>78</v>
      </c>
    </row>
    <row r="225" spans="1:14" x14ac:dyDescent="0.3">
      <c r="A225">
        <v>2224</v>
      </c>
      <c r="B225" s="4">
        <v>44678</v>
      </c>
      <c r="C225">
        <v>2022</v>
      </c>
      <c r="D225" t="s">
        <v>21</v>
      </c>
      <c r="E225" t="s">
        <v>41</v>
      </c>
      <c r="F225" t="s">
        <v>47</v>
      </c>
      <c r="G225" t="s">
        <v>71</v>
      </c>
      <c r="H225">
        <v>13</v>
      </c>
      <c r="I225">
        <v>121.33</v>
      </c>
      <c r="J225">
        <v>1577.29</v>
      </c>
      <c r="K225">
        <v>73.47</v>
      </c>
      <c r="L225">
        <v>622.17999999999995</v>
      </c>
      <c r="M225" t="s">
        <v>75</v>
      </c>
      <c r="N225" t="s">
        <v>79</v>
      </c>
    </row>
    <row r="226" spans="1:14" x14ac:dyDescent="0.3">
      <c r="A226">
        <v>2225</v>
      </c>
      <c r="B226" s="4">
        <v>45156</v>
      </c>
      <c r="C226">
        <v>2023</v>
      </c>
      <c r="D226" t="s">
        <v>19</v>
      </c>
      <c r="E226" t="s">
        <v>42</v>
      </c>
      <c r="F226" t="s">
        <v>46</v>
      </c>
      <c r="G226" t="s">
        <v>70</v>
      </c>
      <c r="H226">
        <v>17</v>
      </c>
      <c r="I226">
        <v>159.51</v>
      </c>
      <c r="J226">
        <v>2711.67</v>
      </c>
      <c r="K226">
        <v>117.62</v>
      </c>
      <c r="L226">
        <v>712.13</v>
      </c>
      <c r="M226" t="s">
        <v>76</v>
      </c>
      <c r="N226" t="s">
        <v>80</v>
      </c>
    </row>
    <row r="227" spans="1:14" x14ac:dyDescent="0.3">
      <c r="A227">
        <v>2226</v>
      </c>
      <c r="B227" s="4">
        <v>44570</v>
      </c>
      <c r="C227">
        <v>2022</v>
      </c>
      <c r="D227" t="s">
        <v>14</v>
      </c>
      <c r="E227" t="s">
        <v>30</v>
      </c>
      <c r="F227" t="s">
        <v>62</v>
      </c>
      <c r="G227" t="s">
        <v>72</v>
      </c>
      <c r="H227">
        <v>6</v>
      </c>
      <c r="I227">
        <v>161.07</v>
      </c>
      <c r="J227">
        <v>966.42</v>
      </c>
      <c r="K227">
        <v>141.80000000000001</v>
      </c>
      <c r="L227">
        <v>115.62</v>
      </c>
      <c r="M227" t="s">
        <v>74</v>
      </c>
      <c r="N227" t="s">
        <v>77</v>
      </c>
    </row>
    <row r="228" spans="1:14" x14ac:dyDescent="0.3">
      <c r="A228">
        <v>2227</v>
      </c>
      <c r="B228" s="4">
        <v>45025</v>
      </c>
      <c r="C228">
        <v>2023</v>
      </c>
      <c r="D228" t="s">
        <v>15</v>
      </c>
      <c r="E228" t="s">
        <v>28</v>
      </c>
      <c r="F228" t="s">
        <v>48</v>
      </c>
      <c r="G228" t="s">
        <v>68</v>
      </c>
      <c r="H228">
        <v>15</v>
      </c>
      <c r="I228">
        <v>105.01</v>
      </c>
      <c r="J228">
        <v>1575.15</v>
      </c>
      <c r="K228">
        <v>71.34</v>
      </c>
      <c r="L228">
        <v>505.05</v>
      </c>
      <c r="M228" t="s">
        <v>74</v>
      </c>
      <c r="N228" t="s">
        <v>79</v>
      </c>
    </row>
    <row r="229" spans="1:14" x14ac:dyDescent="0.3">
      <c r="A229">
        <v>2228</v>
      </c>
      <c r="B229" s="4">
        <v>44732</v>
      </c>
      <c r="C229">
        <v>2022</v>
      </c>
      <c r="D229" t="s">
        <v>19</v>
      </c>
      <c r="E229" t="s">
        <v>31</v>
      </c>
      <c r="F229" t="s">
        <v>61</v>
      </c>
      <c r="G229" t="s">
        <v>68</v>
      </c>
      <c r="H229">
        <v>10</v>
      </c>
      <c r="I229">
        <v>79.260000000000005</v>
      </c>
      <c r="J229">
        <v>792.6</v>
      </c>
      <c r="K229">
        <v>47.58</v>
      </c>
      <c r="L229">
        <v>316.8</v>
      </c>
      <c r="M229" t="s">
        <v>74</v>
      </c>
      <c r="N229" t="s">
        <v>78</v>
      </c>
    </row>
    <row r="230" spans="1:14" x14ac:dyDescent="0.3">
      <c r="A230">
        <v>2229</v>
      </c>
      <c r="B230" s="4">
        <v>45359</v>
      </c>
      <c r="C230">
        <v>2024</v>
      </c>
      <c r="D230" t="s">
        <v>22</v>
      </c>
      <c r="E230" t="s">
        <v>36</v>
      </c>
      <c r="F230" t="s">
        <v>63</v>
      </c>
      <c r="G230" t="s">
        <v>70</v>
      </c>
      <c r="H230">
        <v>8</v>
      </c>
      <c r="I230">
        <v>159.34</v>
      </c>
      <c r="J230">
        <v>1274.72</v>
      </c>
      <c r="K230">
        <v>103.87</v>
      </c>
      <c r="L230">
        <v>443.76</v>
      </c>
      <c r="M230" t="s">
        <v>74</v>
      </c>
      <c r="N230" t="s">
        <v>77</v>
      </c>
    </row>
    <row r="231" spans="1:14" x14ac:dyDescent="0.3">
      <c r="A231">
        <v>2230</v>
      </c>
      <c r="B231" s="4">
        <v>45032</v>
      </c>
      <c r="C231">
        <v>2023</v>
      </c>
      <c r="D231" t="s">
        <v>18</v>
      </c>
      <c r="E231" t="s">
        <v>29</v>
      </c>
      <c r="F231" t="s">
        <v>61</v>
      </c>
      <c r="G231" t="s">
        <v>68</v>
      </c>
      <c r="H231">
        <v>15</v>
      </c>
      <c r="I231">
        <v>175.72</v>
      </c>
      <c r="J231">
        <v>2635.8</v>
      </c>
      <c r="K231">
        <v>121.64</v>
      </c>
      <c r="L231">
        <v>811.2</v>
      </c>
      <c r="M231" t="s">
        <v>76</v>
      </c>
      <c r="N231" t="s">
        <v>79</v>
      </c>
    </row>
    <row r="232" spans="1:14" x14ac:dyDescent="0.3">
      <c r="A232">
        <v>2231</v>
      </c>
      <c r="B232" s="4">
        <v>44693</v>
      </c>
      <c r="C232">
        <v>2022</v>
      </c>
      <c r="D232" t="s">
        <v>23</v>
      </c>
      <c r="E232" t="s">
        <v>37</v>
      </c>
      <c r="F232" t="s">
        <v>49</v>
      </c>
      <c r="G232" t="s">
        <v>72</v>
      </c>
      <c r="H232">
        <v>2</v>
      </c>
      <c r="I232">
        <v>26.05</v>
      </c>
      <c r="J232">
        <v>52.1</v>
      </c>
      <c r="K232">
        <v>15.85</v>
      </c>
      <c r="L232">
        <v>20.399999999999999</v>
      </c>
      <c r="M232" t="s">
        <v>76</v>
      </c>
      <c r="N232" t="s">
        <v>78</v>
      </c>
    </row>
    <row r="233" spans="1:14" x14ac:dyDescent="0.3">
      <c r="A233">
        <v>2232</v>
      </c>
      <c r="B233" s="4">
        <v>45028</v>
      </c>
      <c r="C233">
        <v>2023</v>
      </c>
      <c r="D233" t="s">
        <v>21</v>
      </c>
      <c r="E233" t="s">
        <v>41</v>
      </c>
      <c r="F233" t="s">
        <v>65</v>
      </c>
      <c r="G233" t="s">
        <v>73</v>
      </c>
      <c r="H233">
        <v>20</v>
      </c>
      <c r="I233">
        <v>78.84</v>
      </c>
      <c r="J233">
        <v>1576.8</v>
      </c>
      <c r="K233">
        <v>58.47</v>
      </c>
      <c r="L233">
        <v>407.4</v>
      </c>
      <c r="M233" t="s">
        <v>75</v>
      </c>
      <c r="N233" t="s">
        <v>77</v>
      </c>
    </row>
    <row r="234" spans="1:14" x14ac:dyDescent="0.3">
      <c r="A234">
        <v>2233</v>
      </c>
      <c r="B234" s="4">
        <v>45430</v>
      </c>
      <c r="C234">
        <v>2024</v>
      </c>
      <c r="D234" t="s">
        <v>23</v>
      </c>
      <c r="E234" t="s">
        <v>37</v>
      </c>
      <c r="F234" t="s">
        <v>49</v>
      </c>
      <c r="G234" t="s">
        <v>72</v>
      </c>
      <c r="H234">
        <v>1</v>
      </c>
      <c r="I234">
        <v>28.11</v>
      </c>
      <c r="J234">
        <v>28.11</v>
      </c>
      <c r="K234">
        <v>21.68</v>
      </c>
      <c r="L234">
        <v>6.43</v>
      </c>
      <c r="M234" t="s">
        <v>75</v>
      </c>
      <c r="N234" t="s">
        <v>77</v>
      </c>
    </row>
    <row r="235" spans="1:14" x14ac:dyDescent="0.3">
      <c r="A235">
        <v>2234</v>
      </c>
      <c r="B235" s="4">
        <v>45557</v>
      </c>
      <c r="C235">
        <v>2024</v>
      </c>
      <c r="D235" t="s">
        <v>16</v>
      </c>
      <c r="E235" t="s">
        <v>26</v>
      </c>
      <c r="F235" t="s">
        <v>62</v>
      </c>
      <c r="G235" t="s">
        <v>72</v>
      </c>
      <c r="H235">
        <v>11</v>
      </c>
      <c r="I235">
        <v>68.430000000000007</v>
      </c>
      <c r="J235">
        <v>752.73</v>
      </c>
      <c r="K235">
        <v>51.04</v>
      </c>
      <c r="L235">
        <v>191.29</v>
      </c>
      <c r="M235" t="s">
        <v>75</v>
      </c>
      <c r="N235" t="s">
        <v>78</v>
      </c>
    </row>
    <row r="236" spans="1:14" x14ac:dyDescent="0.3">
      <c r="A236">
        <v>2235</v>
      </c>
      <c r="B236" s="4">
        <v>44731</v>
      </c>
      <c r="C236">
        <v>2022</v>
      </c>
      <c r="D236" t="s">
        <v>19</v>
      </c>
      <c r="E236" t="s">
        <v>39</v>
      </c>
      <c r="F236" t="s">
        <v>55</v>
      </c>
      <c r="G236" t="s">
        <v>71</v>
      </c>
      <c r="H236">
        <v>6</v>
      </c>
      <c r="I236">
        <v>27.29</v>
      </c>
      <c r="J236">
        <v>163.74</v>
      </c>
      <c r="K236">
        <v>22.96</v>
      </c>
      <c r="L236">
        <v>25.98</v>
      </c>
      <c r="M236" t="s">
        <v>75</v>
      </c>
      <c r="N236" t="s">
        <v>77</v>
      </c>
    </row>
    <row r="237" spans="1:14" x14ac:dyDescent="0.3">
      <c r="A237">
        <v>2236</v>
      </c>
      <c r="B237" s="4">
        <v>45586</v>
      </c>
      <c r="C237">
        <v>2024</v>
      </c>
      <c r="D237" t="s">
        <v>16</v>
      </c>
      <c r="E237" t="s">
        <v>35</v>
      </c>
      <c r="F237" t="s">
        <v>49</v>
      </c>
      <c r="G237" t="s">
        <v>72</v>
      </c>
      <c r="H237">
        <v>13</v>
      </c>
      <c r="I237">
        <v>183.35</v>
      </c>
      <c r="J237">
        <v>2383.5500000000002</v>
      </c>
      <c r="K237">
        <v>138.08000000000001</v>
      </c>
      <c r="L237">
        <v>588.51</v>
      </c>
      <c r="M237" t="s">
        <v>75</v>
      </c>
      <c r="N237" t="s">
        <v>80</v>
      </c>
    </row>
    <row r="238" spans="1:14" x14ac:dyDescent="0.3">
      <c r="A238">
        <v>2237</v>
      </c>
      <c r="B238" s="4">
        <v>45499</v>
      </c>
      <c r="C238">
        <v>2024</v>
      </c>
      <c r="D238" t="s">
        <v>23</v>
      </c>
      <c r="E238" t="s">
        <v>43</v>
      </c>
      <c r="F238" t="s">
        <v>65</v>
      </c>
      <c r="G238" t="s">
        <v>73</v>
      </c>
      <c r="H238">
        <v>16</v>
      </c>
      <c r="I238">
        <v>111.33</v>
      </c>
      <c r="J238">
        <v>1781.28</v>
      </c>
      <c r="K238">
        <v>89.7</v>
      </c>
      <c r="L238">
        <v>346.08</v>
      </c>
      <c r="M238" t="s">
        <v>75</v>
      </c>
      <c r="N238" t="s">
        <v>78</v>
      </c>
    </row>
    <row r="239" spans="1:14" x14ac:dyDescent="0.3">
      <c r="A239">
        <v>2238</v>
      </c>
      <c r="B239" s="4">
        <v>45271</v>
      </c>
      <c r="C239">
        <v>2023</v>
      </c>
      <c r="D239" t="s">
        <v>17</v>
      </c>
      <c r="E239" t="s">
        <v>27</v>
      </c>
      <c r="F239" t="s">
        <v>67</v>
      </c>
      <c r="G239" t="s">
        <v>71</v>
      </c>
      <c r="H239">
        <v>19</v>
      </c>
      <c r="I239">
        <v>27.66</v>
      </c>
      <c r="J239">
        <v>525.54</v>
      </c>
      <c r="K239">
        <v>23.71</v>
      </c>
      <c r="L239">
        <v>75.05</v>
      </c>
      <c r="M239" t="s">
        <v>74</v>
      </c>
      <c r="N239" t="s">
        <v>80</v>
      </c>
    </row>
    <row r="240" spans="1:14" x14ac:dyDescent="0.3">
      <c r="A240">
        <v>2239</v>
      </c>
      <c r="B240" s="4">
        <v>45508</v>
      </c>
      <c r="C240">
        <v>2024</v>
      </c>
      <c r="D240" t="s">
        <v>20</v>
      </c>
      <c r="E240" t="s">
        <v>32</v>
      </c>
      <c r="F240" t="s">
        <v>46</v>
      </c>
      <c r="G240" t="s">
        <v>70</v>
      </c>
      <c r="H240">
        <v>9</v>
      </c>
      <c r="I240">
        <v>125.07</v>
      </c>
      <c r="J240">
        <v>1125.6300000000001</v>
      </c>
      <c r="K240">
        <v>77.33</v>
      </c>
      <c r="L240">
        <v>429.66</v>
      </c>
      <c r="M240" t="s">
        <v>74</v>
      </c>
      <c r="N240" t="s">
        <v>77</v>
      </c>
    </row>
    <row r="241" spans="1:14" x14ac:dyDescent="0.3">
      <c r="A241">
        <v>2240</v>
      </c>
      <c r="B241" s="4">
        <v>45359</v>
      </c>
      <c r="C241">
        <v>2024</v>
      </c>
      <c r="D241" t="s">
        <v>20</v>
      </c>
      <c r="E241" t="s">
        <v>40</v>
      </c>
      <c r="F241" t="s">
        <v>50</v>
      </c>
      <c r="G241" t="s">
        <v>73</v>
      </c>
      <c r="H241">
        <v>5</v>
      </c>
      <c r="I241">
        <v>109.61</v>
      </c>
      <c r="J241">
        <v>548.04999999999995</v>
      </c>
      <c r="K241">
        <v>81.67</v>
      </c>
      <c r="L241">
        <v>139.69999999999999</v>
      </c>
      <c r="M241" t="s">
        <v>75</v>
      </c>
      <c r="N241" t="s">
        <v>77</v>
      </c>
    </row>
    <row r="242" spans="1:14" x14ac:dyDescent="0.3">
      <c r="A242">
        <v>2241</v>
      </c>
      <c r="B242" s="4">
        <v>45376</v>
      </c>
      <c r="C242">
        <v>2024</v>
      </c>
      <c r="D242" t="s">
        <v>18</v>
      </c>
      <c r="E242" t="s">
        <v>29</v>
      </c>
      <c r="F242" t="s">
        <v>60</v>
      </c>
      <c r="G242" t="s">
        <v>73</v>
      </c>
      <c r="H242">
        <v>9</v>
      </c>
      <c r="I242">
        <v>58.08</v>
      </c>
      <c r="J242">
        <v>522.72</v>
      </c>
      <c r="K242">
        <v>49.11</v>
      </c>
      <c r="L242">
        <v>80.73</v>
      </c>
      <c r="M242" t="s">
        <v>75</v>
      </c>
      <c r="N242" t="s">
        <v>80</v>
      </c>
    </row>
    <row r="243" spans="1:14" x14ac:dyDescent="0.3">
      <c r="A243">
        <v>2242</v>
      </c>
      <c r="B243" s="4">
        <v>45436</v>
      </c>
      <c r="C243">
        <v>2024</v>
      </c>
      <c r="D243" t="s">
        <v>23</v>
      </c>
      <c r="E243" t="s">
        <v>37</v>
      </c>
      <c r="F243" t="s">
        <v>47</v>
      </c>
      <c r="G243" t="s">
        <v>71</v>
      </c>
      <c r="H243">
        <v>14</v>
      </c>
      <c r="I243">
        <v>166.97</v>
      </c>
      <c r="J243">
        <v>2337.58</v>
      </c>
      <c r="K243">
        <v>108.62</v>
      </c>
      <c r="L243">
        <v>816.9</v>
      </c>
      <c r="M243" t="s">
        <v>76</v>
      </c>
      <c r="N243" t="s">
        <v>77</v>
      </c>
    </row>
    <row r="244" spans="1:14" x14ac:dyDescent="0.3">
      <c r="A244">
        <v>2243</v>
      </c>
      <c r="B244" s="4">
        <v>45577</v>
      </c>
      <c r="C244">
        <v>2024</v>
      </c>
      <c r="D244" t="s">
        <v>14</v>
      </c>
      <c r="E244" t="s">
        <v>24</v>
      </c>
      <c r="F244" t="s">
        <v>50</v>
      </c>
      <c r="G244" t="s">
        <v>73</v>
      </c>
      <c r="H244">
        <v>4</v>
      </c>
      <c r="I244">
        <v>97.63</v>
      </c>
      <c r="J244">
        <v>390.52</v>
      </c>
      <c r="K244">
        <v>86.95</v>
      </c>
      <c r="L244">
        <v>42.72</v>
      </c>
      <c r="M244" t="s">
        <v>75</v>
      </c>
      <c r="N244" t="s">
        <v>78</v>
      </c>
    </row>
    <row r="245" spans="1:14" x14ac:dyDescent="0.3">
      <c r="A245">
        <v>2244</v>
      </c>
      <c r="B245" s="4">
        <v>45339</v>
      </c>
      <c r="C245">
        <v>2024</v>
      </c>
      <c r="D245" t="s">
        <v>22</v>
      </c>
      <c r="E245" t="s">
        <v>38</v>
      </c>
      <c r="F245" t="s">
        <v>50</v>
      </c>
      <c r="G245" t="s">
        <v>73</v>
      </c>
      <c r="H245">
        <v>20</v>
      </c>
      <c r="I245">
        <v>117.01</v>
      </c>
      <c r="J245">
        <v>2340.1999999999998</v>
      </c>
      <c r="K245">
        <v>82.58</v>
      </c>
      <c r="L245">
        <v>688.6</v>
      </c>
      <c r="M245" t="s">
        <v>76</v>
      </c>
      <c r="N245" t="s">
        <v>77</v>
      </c>
    </row>
    <row r="246" spans="1:14" x14ac:dyDescent="0.3">
      <c r="A246">
        <v>2245</v>
      </c>
      <c r="B246" s="4">
        <v>45044</v>
      </c>
      <c r="C246">
        <v>2023</v>
      </c>
      <c r="D246" t="s">
        <v>14</v>
      </c>
      <c r="E246" t="s">
        <v>24</v>
      </c>
      <c r="F246" t="s">
        <v>64</v>
      </c>
      <c r="G246" t="s">
        <v>70</v>
      </c>
      <c r="H246">
        <v>20</v>
      </c>
      <c r="I246">
        <v>111.69</v>
      </c>
      <c r="J246">
        <v>2233.8000000000002</v>
      </c>
      <c r="K246">
        <v>83.95</v>
      </c>
      <c r="L246">
        <v>554.79999999999995</v>
      </c>
      <c r="M246" t="s">
        <v>74</v>
      </c>
      <c r="N246" t="s">
        <v>77</v>
      </c>
    </row>
    <row r="247" spans="1:14" x14ac:dyDescent="0.3">
      <c r="A247">
        <v>2246</v>
      </c>
      <c r="B247" s="4">
        <v>45058</v>
      </c>
      <c r="C247">
        <v>2023</v>
      </c>
      <c r="D247" t="s">
        <v>16</v>
      </c>
      <c r="E247" t="s">
        <v>26</v>
      </c>
      <c r="F247" t="s">
        <v>62</v>
      </c>
      <c r="G247" t="s">
        <v>72</v>
      </c>
      <c r="H247">
        <v>17</v>
      </c>
      <c r="I247">
        <v>178.44</v>
      </c>
      <c r="J247">
        <v>3033.48</v>
      </c>
      <c r="K247">
        <v>128.29</v>
      </c>
      <c r="L247">
        <v>852.55</v>
      </c>
      <c r="M247" t="s">
        <v>75</v>
      </c>
      <c r="N247" t="s">
        <v>80</v>
      </c>
    </row>
    <row r="248" spans="1:14" x14ac:dyDescent="0.3">
      <c r="A248">
        <v>2247</v>
      </c>
      <c r="B248" s="4">
        <v>45226</v>
      </c>
      <c r="C248">
        <v>2023</v>
      </c>
      <c r="D248" t="s">
        <v>21</v>
      </c>
      <c r="E248" t="s">
        <v>41</v>
      </c>
      <c r="F248" t="s">
        <v>57</v>
      </c>
      <c r="G248" t="s">
        <v>73</v>
      </c>
      <c r="H248">
        <v>15</v>
      </c>
      <c r="I248">
        <v>113.41</v>
      </c>
      <c r="J248">
        <v>1701.15</v>
      </c>
      <c r="K248">
        <v>87.89</v>
      </c>
      <c r="L248">
        <v>382.8</v>
      </c>
      <c r="M248" t="s">
        <v>76</v>
      </c>
      <c r="N248" t="s">
        <v>80</v>
      </c>
    </row>
    <row r="249" spans="1:14" x14ac:dyDescent="0.3">
      <c r="A249">
        <v>2248</v>
      </c>
      <c r="B249" s="4">
        <v>45252</v>
      </c>
      <c r="C249">
        <v>2023</v>
      </c>
      <c r="D249" t="s">
        <v>14</v>
      </c>
      <c r="E249" t="s">
        <v>30</v>
      </c>
      <c r="F249" t="s">
        <v>54</v>
      </c>
      <c r="G249" t="s">
        <v>72</v>
      </c>
      <c r="H249">
        <v>5</v>
      </c>
      <c r="I249">
        <v>96.66</v>
      </c>
      <c r="J249">
        <v>483.3</v>
      </c>
      <c r="K249">
        <v>62.73</v>
      </c>
      <c r="L249">
        <v>169.65</v>
      </c>
      <c r="M249" t="s">
        <v>75</v>
      </c>
      <c r="N249" t="s">
        <v>77</v>
      </c>
    </row>
    <row r="250" spans="1:14" x14ac:dyDescent="0.3">
      <c r="A250">
        <v>2249</v>
      </c>
      <c r="B250" s="4">
        <v>44660</v>
      </c>
      <c r="C250">
        <v>2022</v>
      </c>
      <c r="D250" t="s">
        <v>21</v>
      </c>
      <c r="E250" t="s">
        <v>41</v>
      </c>
      <c r="F250" t="s">
        <v>59</v>
      </c>
      <c r="G250" t="s">
        <v>69</v>
      </c>
      <c r="H250">
        <v>7</v>
      </c>
      <c r="I250">
        <v>30.05</v>
      </c>
      <c r="J250">
        <v>210.35</v>
      </c>
      <c r="K250">
        <v>25.23</v>
      </c>
      <c r="L250">
        <v>33.74</v>
      </c>
      <c r="M250" t="s">
        <v>74</v>
      </c>
      <c r="N250" t="s">
        <v>79</v>
      </c>
    </row>
    <row r="251" spans="1:14" x14ac:dyDescent="0.3">
      <c r="A251">
        <v>2250</v>
      </c>
      <c r="B251" s="4">
        <v>44916</v>
      </c>
      <c r="C251">
        <v>2022</v>
      </c>
      <c r="D251" t="s">
        <v>22</v>
      </c>
      <c r="E251" t="s">
        <v>36</v>
      </c>
      <c r="F251" t="s">
        <v>59</v>
      </c>
      <c r="G251" t="s">
        <v>69</v>
      </c>
      <c r="H251">
        <v>15</v>
      </c>
      <c r="I251">
        <v>126.95</v>
      </c>
      <c r="J251">
        <v>1904.25</v>
      </c>
      <c r="K251">
        <v>78.72</v>
      </c>
      <c r="L251">
        <v>723.45</v>
      </c>
      <c r="M251" t="s">
        <v>75</v>
      </c>
      <c r="N251" t="s">
        <v>79</v>
      </c>
    </row>
    <row r="252" spans="1:14" x14ac:dyDescent="0.3">
      <c r="A252">
        <v>2251</v>
      </c>
      <c r="B252" s="4">
        <v>45470</v>
      </c>
      <c r="C252">
        <v>2024</v>
      </c>
      <c r="D252" t="s">
        <v>23</v>
      </c>
      <c r="E252" t="s">
        <v>43</v>
      </c>
      <c r="F252" t="s">
        <v>61</v>
      </c>
      <c r="G252" t="s">
        <v>68</v>
      </c>
      <c r="H252">
        <v>1</v>
      </c>
      <c r="I252">
        <v>175.09</v>
      </c>
      <c r="J252">
        <v>175.09</v>
      </c>
      <c r="K252">
        <v>152.16999999999999</v>
      </c>
      <c r="L252">
        <v>22.92</v>
      </c>
      <c r="M252" t="s">
        <v>75</v>
      </c>
      <c r="N252" t="s">
        <v>80</v>
      </c>
    </row>
    <row r="253" spans="1:14" x14ac:dyDescent="0.3">
      <c r="A253">
        <v>2252</v>
      </c>
      <c r="B253" s="4">
        <v>45403</v>
      </c>
      <c r="C253">
        <v>2024</v>
      </c>
      <c r="D253" t="s">
        <v>15</v>
      </c>
      <c r="E253" t="s">
        <v>25</v>
      </c>
      <c r="F253" t="s">
        <v>66</v>
      </c>
      <c r="G253" t="s">
        <v>72</v>
      </c>
      <c r="H253">
        <v>18</v>
      </c>
      <c r="I253">
        <v>114.62</v>
      </c>
      <c r="J253">
        <v>2063.16</v>
      </c>
      <c r="K253">
        <v>88.4</v>
      </c>
      <c r="L253">
        <v>471.96</v>
      </c>
      <c r="M253" t="s">
        <v>75</v>
      </c>
      <c r="N253" t="s">
        <v>77</v>
      </c>
    </row>
    <row r="254" spans="1:14" x14ac:dyDescent="0.3">
      <c r="A254">
        <v>2253</v>
      </c>
      <c r="B254" s="4">
        <v>45156</v>
      </c>
      <c r="C254">
        <v>2023</v>
      </c>
      <c r="D254" t="s">
        <v>16</v>
      </c>
      <c r="E254" t="s">
        <v>26</v>
      </c>
      <c r="F254" t="s">
        <v>53</v>
      </c>
      <c r="G254" t="s">
        <v>69</v>
      </c>
      <c r="H254">
        <v>3</v>
      </c>
      <c r="I254">
        <v>93.42</v>
      </c>
      <c r="J254">
        <v>280.26</v>
      </c>
      <c r="K254">
        <v>68.209999999999994</v>
      </c>
      <c r="L254">
        <v>75.63</v>
      </c>
      <c r="M254" t="s">
        <v>75</v>
      </c>
      <c r="N254" t="s">
        <v>77</v>
      </c>
    </row>
    <row r="255" spans="1:14" x14ac:dyDescent="0.3">
      <c r="A255">
        <v>2254</v>
      </c>
      <c r="B255" s="4">
        <v>45174</v>
      </c>
      <c r="C255">
        <v>2023</v>
      </c>
      <c r="D255" t="s">
        <v>16</v>
      </c>
      <c r="E255" t="s">
        <v>35</v>
      </c>
      <c r="F255" t="s">
        <v>65</v>
      </c>
      <c r="G255" t="s">
        <v>73</v>
      </c>
      <c r="H255">
        <v>15</v>
      </c>
      <c r="I255">
        <v>108.55</v>
      </c>
      <c r="J255">
        <v>1628.25</v>
      </c>
      <c r="K255">
        <v>72.13</v>
      </c>
      <c r="L255">
        <v>546.29999999999995</v>
      </c>
      <c r="M255" t="s">
        <v>74</v>
      </c>
      <c r="N255" t="s">
        <v>80</v>
      </c>
    </row>
    <row r="256" spans="1:14" x14ac:dyDescent="0.3">
      <c r="A256">
        <v>2255</v>
      </c>
      <c r="B256" s="4">
        <v>44601</v>
      </c>
      <c r="C256">
        <v>2022</v>
      </c>
      <c r="D256" t="s">
        <v>17</v>
      </c>
      <c r="E256" t="s">
        <v>27</v>
      </c>
      <c r="F256" t="s">
        <v>57</v>
      </c>
      <c r="G256" t="s">
        <v>73</v>
      </c>
      <c r="H256">
        <v>6</v>
      </c>
      <c r="I256">
        <v>98.64</v>
      </c>
      <c r="J256">
        <v>591.84</v>
      </c>
      <c r="K256">
        <v>59.87</v>
      </c>
      <c r="L256">
        <v>232.62</v>
      </c>
      <c r="M256" t="s">
        <v>75</v>
      </c>
      <c r="N256" t="s">
        <v>80</v>
      </c>
    </row>
    <row r="257" spans="1:14" x14ac:dyDescent="0.3">
      <c r="A257">
        <v>2256</v>
      </c>
      <c r="B257" s="4">
        <v>44667</v>
      </c>
      <c r="C257">
        <v>2022</v>
      </c>
      <c r="D257" t="s">
        <v>16</v>
      </c>
      <c r="E257" t="s">
        <v>35</v>
      </c>
      <c r="F257" t="s">
        <v>63</v>
      </c>
      <c r="G257" t="s">
        <v>70</v>
      </c>
      <c r="H257">
        <v>14</v>
      </c>
      <c r="I257">
        <v>21.01</v>
      </c>
      <c r="J257">
        <v>294.14</v>
      </c>
      <c r="K257">
        <v>12.72</v>
      </c>
      <c r="L257">
        <v>116.06</v>
      </c>
      <c r="M257" t="s">
        <v>75</v>
      </c>
      <c r="N257" t="s">
        <v>79</v>
      </c>
    </row>
    <row r="258" spans="1:14" x14ac:dyDescent="0.3">
      <c r="A258">
        <v>2257</v>
      </c>
      <c r="B258" s="4">
        <v>44801</v>
      </c>
      <c r="C258">
        <v>2022</v>
      </c>
      <c r="D258" t="s">
        <v>16</v>
      </c>
      <c r="E258" t="s">
        <v>35</v>
      </c>
      <c r="F258" t="s">
        <v>46</v>
      </c>
      <c r="G258" t="s">
        <v>70</v>
      </c>
      <c r="H258">
        <v>19</v>
      </c>
      <c r="I258">
        <v>39.090000000000003</v>
      </c>
      <c r="J258">
        <v>742.71</v>
      </c>
      <c r="K258">
        <v>26.56</v>
      </c>
      <c r="L258">
        <v>238.07</v>
      </c>
      <c r="M258" t="s">
        <v>76</v>
      </c>
      <c r="N258" t="s">
        <v>80</v>
      </c>
    </row>
    <row r="259" spans="1:14" x14ac:dyDescent="0.3">
      <c r="A259">
        <v>2258</v>
      </c>
      <c r="B259" s="4">
        <v>44573</v>
      </c>
      <c r="C259">
        <v>2022</v>
      </c>
      <c r="D259" t="s">
        <v>20</v>
      </c>
      <c r="E259" t="s">
        <v>40</v>
      </c>
      <c r="F259" t="s">
        <v>63</v>
      </c>
      <c r="G259" t="s">
        <v>70</v>
      </c>
      <c r="H259">
        <v>10</v>
      </c>
      <c r="I259">
        <v>182.85</v>
      </c>
      <c r="J259">
        <v>1828.5</v>
      </c>
      <c r="K259">
        <v>154.55000000000001</v>
      </c>
      <c r="L259">
        <v>283</v>
      </c>
      <c r="M259" t="s">
        <v>76</v>
      </c>
      <c r="N259" t="s">
        <v>78</v>
      </c>
    </row>
    <row r="260" spans="1:14" x14ac:dyDescent="0.3">
      <c r="A260">
        <v>2259</v>
      </c>
      <c r="B260" s="4">
        <v>45147</v>
      </c>
      <c r="C260">
        <v>2023</v>
      </c>
      <c r="D260" t="s">
        <v>23</v>
      </c>
      <c r="E260" t="s">
        <v>43</v>
      </c>
      <c r="F260" t="s">
        <v>57</v>
      </c>
      <c r="G260" t="s">
        <v>73</v>
      </c>
      <c r="H260">
        <v>11</v>
      </c>
      <c r="I260">
        <v>161.51</v>
      </c>
      <c r="J260">
        <v>1776.61</v>
      </c>
      <c r="K260">
        <v>108.45</v>
      </c>
      <c r="L260">
        <v>583.66</v>
      </c>
      <c r="M260" t="s">
        <v>76</v>
      </c>
      <c r="N260" t="s">
        <v>79</v>
      </c>
    </row>
    <row r="261" spans="1:14" x14ac:dyDescent="0.3">
      <c r="A261">
        <v>2260</v>
      </c>
      <c r="B261" s="4">
        <v>45313</v>
      </c>
      <c r="C261">
        <v>2024</v>
      </c>
      <c r="D261" t="s">
        <v>16</v>
      </c>
      <c r="E261" t="s">
        <v>35</v>
      </c>
      <c r="F261" t="s">
        <v>47</v>
      </c>
      <c r="G261" t="s">
        <v>71</v>
      </c>
      <c r="H261">
        <v>14</v>
      </c>
      <c r="I261">
        <v>134.47</v>
      </c>
      <c r="J261">
        <v>1882.58</v>
      </c>
      <c r="K261">
        <v>86.8</v>
      </c>
      <c r="L261">
        <v>667.38</v>
      </c>
      <c r="M261" t="s">
        <v>75</v>
      </c>
      <c r="N261" t="s">
        <v>79</v>
      </c>
    </row>
    <row r="262" spans="1:14" x14ac:dyDescent="0.3">
      <c r="A262">
        <v>2261</v>
      </c>
      <c r="B262" s="4">
        <v>44627</v>
      </c>
      <c r="C262">
        <v>2022</v>
      </c>
      <c r="D262" t="s">
        <v>20</v>
      </c>
      <c r="E262" t="s">
        <v>32</v>
      </c>
      <c r="F262" t="s">
        <v>55</v>
      </c>
      <c r="G262" t="s">
        <v>71</v>
      </c>
      <c r="H262">
        <v>18</v>
      </c>
      <c r="I262">
        <v>181.5</v>
      </c>
      <c r="J262">
        <v>3267</v>
      </c>
      <c r="K262">
        <v>152.36000000000001</v>
      </c>
      <c r="L262">
        <v>524.52</v>
      </c>
      <c r="M262" t="s">
        <v>76</v>
      </c>
      <c r="N262" t="s">
        <v>80</v>
      </c>
    </row>
    <row r="263" spans="1:14" x14ac:dyDescent="0.3">
      <c r="A263">
        <v>2262</v>
      </c>
      <c r="B263" s="4">
        <v>45157</v>
      </c>
      <c r="C263">
        <v>2023</v>
      </c>
      <c r="D263" t="s">
        <v>19</v>
      </c>
      <c r="E263" t="s">
        <v>42</v>
      </c>
      <c r="F263" t="s">
        <v>45</v>
      </c>
      <c r="G263" t="s">
        <v>69</v>
      </c>
      <c r="H263">
        <v>12</v>
      </c>
      <c r="I263">
        <v>192.22</v>
      </c>
      <c r="J263">
        <v>2306.64</v>
      </c>
      <c r="K263">
        <v>167.68</v>
      </c>
      <c r="L263">
        <v>294.48</v>
      </c>
      <c r="M263" t="s">
        <v>76</v>
      </c>
      <c r="N263" t="s">
        <v>77</v>
      </c>
    </row>
    <row r="264" spans="1:14" x14ac:dyDescent="0.3">
      <c r="A264">
        <v>2263</v>
      </c>
      <c r="B264" s="4">
        <v>44869</v>
      </c>
      <c r="C264">
        <v>2022</v>
      </c>
      <c r="D264" t="s">
        <v>14</v>
      </c>
      <c r="E264" t="s">
        <v>30</v>
      </c>
      <c r="F264" t="s">
        <v>47</v>
      </c>
      <c r="G264" t="s">
        <v>71</v>
      </c>
      <c r="H264">
        <v>5</v>
      </c>
      <c r="I264">
        <v>139.38</v>
      </c>
      <c r="J264">
        <v>696.9</v>
      </c>
      <c r="K264">
        <v>123.5</v>
      </c>
      <c r="L264">
        <v>79.400000000000006</v>
      </c>
      <c r="M264" t="s">
        <v>76</v>
      </c>
      <c r="N264" t="s">
        <v>79</v>
      </c>
    </row>
    <row r="265" spans="1:14" x14ac:dyDescent="0.3">
      <c r="A265">
        <v>2264</v>
      </c>
      <c r="B265" s="4">
        <v>45084</v>
      </c>
      <c r="C265">
        <v>2023</v>
      </c>
      <c r="D265" t="s">
        <v>19</v>
      </c>
      <c r="E265" t="s">
        <v>39</v>
      </c>
      <c r="F265" t="s">
        <v>66</v>
      </c>
      <c r="G265" t="s">
        <v>72</v>
      </c>
      <c r="H265">
        <v>15</v>
      </c>
      <c r="I265">
        <v>55.01</v>
      </c>
      <c r="J265">
        <v>825.15</v>
      </c>
      <c r="K265">
        <v>43.4</v>
      </c>
      <c r="L265">
        <v>174.15</v>
      </c>
      <c r="M265" t="s">
        <v>74</v>
      </c>
      <c r="N265" t="s">
        <v>80</v>
      </c>
    </row>
    <row r="266" spans="1:14" x14ac:dyDescent="0.3">
      <c r="A266">
        <v>2265</v>
      </c>
      <c r="B266" s="4">
        <v>44630</v>
      </c>
      <c r="C266">
        <v>2022</v>
      </c>
      <c r="D266" t="s">
        <v>20</v>
      </c>
      <c r="E266" t="s">
        <v>32</v>
      </c>
      <c r="F266" t="s">
        <v>57</v>
      </c>
      <c r="G266" t="s">
        <v>73</v>
      </c>
      <c r="H266">
        <v>15</v>
      </c>
      <c r="I266">
        <v>174.09</v>
      </c>
      <c r="J266">
        <v>2611.35</v>
      </c>
      <c r="K266">
        <v>126.11</v>
      </c>
      <c r="L266">
        <v>719.7</v>
      </c>
      <c r="M266" t="s">
        <v>75</v>
      </c>
      <c r="N266" t="s">
        <v>77</v>
      </c>
    </row>
    <row r="267" spans="1:14" x14ac:dyDescent="0.3">
      <c r="A267">
        <v>2266</v>
      </c>
      <c r="B267" s="4">
        <v>45301</v>
      </c>
      <c r="C267">
        <v>2024</v>
      </c>
      <c r="D267" t="s">
        <v>18</v>
      </c>
      <c r="E267" t="s">
        <v>29</v>
      </c>
      <c r="F267" t="s">
        <v>49</v>
      </c>
      <c r="G267" t="s">
        <v>72</v>
      </c>
      <c r="H267">
        <v>10</v>
      </c>
      <c r="I267">
        <v>22.98</v>
      </c>
      <c r="J267">
        <v>229.8</v>
      </c>
      <c r="K267">
        <v>20.09</v>
      </c>
      <c r="L267">
        <v>28.9</v>
      </c>
      <c r="M267" t="s">
        <v>74</v>
      </c>
      <c r="N267" t="s">
        <v>77</v>
      </c>
    </row>
    <row r="268" spans="1:14" x14ac:dyDescent="0.3">
      <c r="A268">
        <v>2267</v>
      </c>
      <c r="B268" s="4">
        <v>45344</v>
      </c>
      <c r="C268">
        <v>2024</v>
      </c>
      <c r="D268" t="s">
        <v>17</v>
      </c>
      <c r="E268" t="s">
        <v>27</v>
      </c>
      <c r="F268" t="s">
        <v>58</v>
      </c>
      <c r="G268" t="s">
        <v>68</v>
      </c>
      <c r="H268">
        <v>9</v>
      </c>
      <c r="I268">
        <v>34.520000000000003</v>
      </c>
      <c r="J268">
        <v>310.68</v>
      </c>
      <c r="K268">
        <v>26.04</v>
      </c>
      <c r="L268">
        <v>76.319999999999993</v>
      </c>
      <c r="M268" t="s">
        <v>74</v>
      </c>
      <c r="N268" t="s">
        <v>80</v>
      </c>
    </row>
    <row r="269" spans="1:14" x14ac:dyDescent="0.3">
      <c r="A269">
        <v>2268</v>
      </c>
      <c r="B269" s="4">
        <v>45074</v>
      </c>
      <c r="C269">
        <v>2023</v>
      </c>
      <c r="D269" t="s">
        <v>15</v>
      </c>
      <c r="E269" t="s">
        <v>25</v>
      </c>
      <c r="F269" t="s">
        <v>45</v>
      </c>
      <c r="G269" t="s">
        <v>69</v>
      </c>
      <c r="H269">
        <v>7</v>
      </c>
      <c r="I269">
        <v>169.9</v>
      </c>
      <c r="J269">
        <v>1189.3</v>
      </c>
      <c r="K269">
        <v>136.88</v>
      </c>
      <c r="L269">
        <v>231.14</v>
      </c>
      <c r="M269" t="s">
        <v>75</v>
      </c>
      <c r="N269" t="s">
        <v>80</v>
      </c>
    </row>
    <row r="270" spans="1:14" x14ac:dyDescent="0.3">
      <c r="A270">
        <v>2269</v>
      </c>
      <c r="B270" s="4">
        <v>45140</v>
      </c>
      <c r="C270">
        <v>2023</v>
      </c>
      <c r="D270" t="s">
        <v>20</v>
      </c>
      <c r="E270" t="s">
        <v>40</v>
      </c>
      <c r="F270" t="s">
        <v>67</v>
      </c>
      <c r="G270" t="s">
        <v>71</v>
      </c>
      <c r="H270">
        <v>17</v>
      </c>
      <c r="I270">
        <v>90.49</v>
      </c>
      <c r="J270">
        <v>1538.33</v>
      </c>
      <c r="K270">
        <v>56.4</v>
      </c>
      <c r="L270">
        <v>579.53</v>
      </c>
      <c r="M270" t="s">
        <v>74</v>
      </c>
      <c r="N270" t="s">
        <v>77</v>
      </c>
    </row>
    <row r="271" spans="1:14" x14ac:dyDescent="0.3">
      <c r="A271">
        <v>2270</v>
      </c>
      <c r="B271" s="4">
        <v>45055</v>
      </c>
      <c r="C271">
        <v>2023</v>
      </c>
      <c r="D271" t="s">
        <v>20</v>
      </c>
      <c r="E271" t="s">
        <v>32</v>
      </c>
      <c r="F271" t="s">
        <v>50</v>
      </c>
      <c r="G271" t="s">
        <v>73</v>
      </c>
      <c r="H271">
        <v>3</v>
      </c>
      <c r="I271">
        <v>108.68</v>
      </c>
      <c r="J271">
        <v>326.04000000000002</v>
      </c>
      <c r="K271">
        <v>90.04</v>
      </c>
      <c r="L271">
        <v>55.92</v>
      </c>
      <c r="M271" t="s">
        <v>74</v>
      </c>
      <c r="N271" t="s">
        <v>78</v>
      </c>
    </row>
    <row r="272" spans="1:14" x14ac:dyDescent="0.3">
      <c r="A272">
        <v>2271</v>
      </c>
      <c r="B272" s="4">
        <v>45651</v>
      </c>
      <c r="C272">
        <v>2024</v>
      </c>
      <c r="D272" t="s">
        <v>20</v>
      </c>
      <c r="E272" t="s">
        <v>32</v>
      </c>
      <c r="F272" t="s">
        <v>66</v>
      </c>
      <c r="G272" t="s">
        <v>72</v>
      </c>
      <c r="H272">
        <v>5</v>
      </c>
      <c r="I272">
        <v>39</v>
      </c>
      <c r="J272">
        <v>195</v>
      </c>
      <c r="K272">
        <v>26.95</v>
      </c>
      <c r="L272">
        <v>60.25</v>
      </c>
      <c r="M272" t="s">
        <v>76</v>
      </c>
      <c r="N272" t="s">
        <v>77</v>
      </c>
    </row>
    <row r="273" spans="1:14" x14ac:dyDescent="0.3">
      <c r="A273">
        <v>2272</v>
      </c>
      <c r="B273" s="4">
        <v>45423</v>
      </c>
      <c r="C273">
        <v>2024</v>
      </c>
      <c r="D273" t="s">
        <v>19</v>
      </c>
      <c r="E273" t="s">
        <v>39</v>
      </c>
      <c r="F273" t="s">
        <v>60</v>
      </c>
      <c r="G273" t="s">
        <v>73</v>
      </c>
      <c r="H273">
        <v>1</v>
      </c>
      <c r="I273">
        <v>198.52</v>
      </c>
      <c r="J273">
        <v>198.52</v>
      </c>
      <c r="K273">
        <v>158.47</v>
      </c>
      <c r="L273">
        <v>40.049999999999997</v>
      </c>
      <c r="M273" t="s">
        <v>74</v>
      </c>
      <c r="N273" t="s">
        <v>80</v>
      </c>
    </row>
    <row r="274" spans="1:14" x14ac:dyDescent="0.3">
      <c r="A274">
        <v>2273</v>
      </c>
      <c r="B274" s="4">
        <v>45513</v>
      </c>
      <c r="C274">
        <v>2024</v>
      </c>
      <c r="D274" t="s">
        <v>22</v>
      </c>
      <c r="E274" t="s">
        <v>36</v>
      </c>
      <c r="F274" t="s">
        <v>66</v>
      </c>
      <c r="G274" t="s">
        <v>72</v>
      </c>
      <c r="H274">
        <v>2</v>
      </c>
      <c r="I274">
        <v>93.18</v>
      </c>
      <c r="J274">
        <v>186.36</v>
      </c>
      <c r="K274">
        <v>59.12</v>
      </c>
      <c r="L274">
        <v>68.12</v>
      </c>
      <c r="M274" t="s">
        <v>74</v>
      </c>
      <c r="N274" t="s">
        <v>77</v>
      </c>
    </row>
    <row r="275" spans="1:14" x14ac:dyDescent="0.3">
      <c r="A275">
        <v>2274</v>
      </c>
      <c r="B275" s="4">
        <v>44749</v>
      </c>
      <c r="C275">
        <v>2022</v>
      </c>
      <c r="D275" t="s">
        <v>23</v>
      </c>
      <c r="E275" t="s">
        <v>37</v>
      </c>
      <c r="F275" t="s">
        <v>49</v>
      </c>
      <c r="G275" t="s">
        <v>72</v>
      </c>
      <c r="H275">
        <v>17</v>
      </c>
      <c r="I275">
        <v>79.040000000000006</v>
      </c>
      <c r="J275">
        <v>1343.68</v>
      </c>
      <c r="K275">
        <v>65.94</v>
      </c>
      <c r="L275">
        <v>222.7</v>
      </c>
      <c r="M275" t="s">
        <v>76</v>
      </c>
      <c r="N275" t="s">
        <v>78</v>
      </c>
    </row>
    <row r="276" spans="1:14" x14ac:dyDescent="0.3">
      <c r="A276">
        <v>2275</v>
      </c>
      <c r="B276" s="4">
        <v>44854</v>
      </c>
      <c r="C276">
        <v>2022</v>
      </c>
      <c r="D276" t="s">
        <v>16</v>
      </c>
      <c r="E276" t="s">
        <v>26</v>
      </c>
      <c r="F276" t="s">
        <v>59</v>
      </c>
      <c r="G276" t="s">
        <v>69</v>
      </c>
      <c r="H276">
        <v>3</v>
      </c>
      <c r="I276">
        <v>94.01</v>
      </c>
      <c r="J276">
        <v>282.02999999999997</v>
      </c>
      <c r="K276">
        <v>63.84</v>
      </c>
      <c r="L276">
        <v>90.51</v>
      </c>
      <c r="M276" t="s">
        <v>76</v>
      </c>
      <c r="N276" t="s">
        <v>77</v>
      </c>
    </row>
    <row r="277" spans="1:14" x14ac:dyDescent="0.3">
      <c r="A277">
        <v>2276</v>
      </c>
      <c r="B277" s="4">
        <v>44839</v>
      </c>
      <c r="C277">
        <v>2022</v>
      </c>
      <c r="D277" t="s">
        <v>22</v>
      </c>
      <c r="E277" t="s">
        <v>38</v>
      </c>
      <c r="F277" t="s">
        <v>51</v>
      </c>
      <c r="G277" t="s">
        <v>69</v>
      </c>
      <c r="H277">
        <v>9</v>
      </c>
      <c r="I277">
        <v>40.01</v>
      </c>
      <c r="J277">
        <v>360.09</v>
      </c>
      <c r="K277">
        <v>26.37</v>
      </c>
      <c r="L277">
        <v>122.76</v>
      </c>
      <c r="M277" t="s">
        <v>75</v>
      </c>
      <c r="N277" t="s">
        <v>77</v>
      </c>
    </row>
    <row r="278" spans="1:14" x14ac:dyDescent="0.3">
      <c r="A278">
        <v>2277</v>
      </c>
      <c r="B278" s="4">
        <v>45135</v>
      </c>
      <c r="C278">
        <v>2023</v>
      </c>
      <c r="D278" t="s">
        <v>17</v>
      </c>
      <c r="E278" t="s">
        <v>27</v>
      </c>
      <c r="F278" t="s">
        <v>65</v>
      </c>
      <c r="G278" t="s">
        <v>73</v>
      </c>
      <c r="H278">
        <v>13</v>
      </c>
      <c r="I278">
        <v>167.52</v>
      </c>
      <c r="J278">
        <v>2177.7600000000002</v>
      </c>
      <c r="K278">
        <v>146.71</v>
      </c>
      <c r="L278">
        <v>270.52999999999997</v>
      </c>
      <c r="M278" t="s">
        <v>74</v>
      </c>
      <c r="N278" t="s">
        <v>78</v>
      </c>
    </row>
    <row r="279" spans="1:14" x14ac:dyDescent="0.3">
      <c r="A279">
        <v>2278</v>
      </c>
      <c r="B279" s="4">
        <v>45021</v>
      </c>
      <c r="C279">
        <v>2023</v>
      </c>
      <c r="D279" t="s">
        <v>18</v>
      </c>
      <c r="E279" t="s">
        <v>29</v>
      </c>
      <c r="F279" t="s">
        <v>48</v>
      </c>
      <c r="G279" t="s">
        <v>68</v>
      </c>
      <c r="H279">
        <v>19</v>
      </c>
      <c r="I279">
        <v>29.28</v>
      </c>
      <c r="J279">
        <v>556.32000000000005</v>
      </c>
      <c r="K279">
        <v>21.29</v>
      </c>
      <c r="L279">
        <v>151.81</v>
      </c>
      <c r="M279" t="s">
        <v>75</v>
      </c>
      <c r="N279" t="s">
        <v>79</v>
      </c>
    </row>
    <row r="280" spans="1:14" x14ac:dyDescent="0.3">
      <c r="A280">
        <v>2279</v>
      </c>
      <c r="B280" s="4">
        <v>45338</v>
      </c>
      <c r="C280">
        <v>2024</v>
      </c>
      <c r="D280" t="s">
        <v>14</v>
      </c>
      <c r="E280" t="s">
        <v>30</v>
      </c>
      <c r="F280" t="s">
        <v>50</v>
      </c>
      <c r="G280" t="s">
        <v>73</v>
      </c>
      <c r="H280">
        <v>19</v>
      </c>
      <c r="I280">
        <v>156.36000000000001</v>
      </c>
      <c r="J280">
        <v>2970.84</v>
      </c>
      <c r="K280">
        <v>99.38</v>
      </c>
      <c r="L280">
        <v>1082.6199999999999</v>
      </c>
      <c r="M280" t="s">
        <v>74</v>
      </c>
      <c r="N280" t="s">
        <v>78</v>
      </c>
    </row>
    <row r="281" spans="1:14" x14ac:dyDescent="0.3">
      <c r="A281">
        <v>2280</v>
      </c>
      <c r="B281" s="4">
        <v>45157</v>
      </c>
      <c r="C281">
        <v>2023</v>
      </c>
      <c r="D281" t="s">
        <v>23</v>
      </c>
      <c r="E281" t="s">
        <v>43</v>
      </c>
      <c r="F281" t="s">
        <v>65</v>
      </c>
      <c r="G281" t="s">
        <v>73</v>
      </c>
      <c r="H281">
        <v>3</v>
      </c>
      <c r="I281">
        <v>143.83000000000001</v>
      </c>
      <c r="J281">
        <v>431.49</v>
      </c>
      <c r="K281">
        <v>86.78</v>
      </c>
      <c r="L281">
        <v>171.15</v>
      </c>
      <c r="M281" t="s">
        <v>76</v>
      </c>
      <c r="N281" t="s">
        <v>80</v>
      </c>
    </row>
    <row r="282" spans="1:14" x14ac:dyDescent="0.3">
      <c r="A282">
        <v>2281</v>
      </c>
      <c r="B282" s="4">
        <v>44629</v>
      </c>
      <c r="C282">
        <v>2022</v>
      </c>
      <c r="D282" t="s">
        <v>23</v>
      </c>
      <c r="E282" t="s">
        <v>37</v>
      </c>
      <c r="F282" t="s">
        <v>57</v>
      </c>
      <c r="G282" t="s">
        <v>73</v>
      </c>
      <c r="H282">
        <v>11</v>
      </c>
      <c r="I282">
        <v>189.89</v>
      </c>
      <c r="J282">
        <v>2088.79</v>
      </c>
      <c r="K282">
        <v>160.09</v>
      </c>
      <c r="L282">
        <v>327.8</v>
      </c>
      <c r="M282" t="s">
        <v>75</v>
      </c>
      <c r="N282" t="s">
        <v>79</v>
      </c>
    </row>
    <row r="283" spans="1:14" x14ac:dyDescent="0.3">
      <c r="A283">
        <v>2282</v>
      </c>
      <c r="B283" s="4">
        <v>45217</v>
      </c>
      <c r="C283">
        <v>2023</v>
      </c>
      <c r="D283" t="s">
        <v>21</v>
      </c>
      <c r="E283" t="s">
        <v>41</v>
      </c>
      <c r="F283" t="s">
        <v>52</v>
      </c>
      <c r="G283" t="s">
        <v>71</v>
      </c>
      <c r="H283">
        <v>16</v>
      </c>
      <c r="I283">
        <v>61.76</v>
      </c>
      <c r="J283">
        <v>988.16</v>
      </c>
      <c r="K283">
        <v>47.14</v>
      </c>
      <c r="L283">
        <v>233.92</v>
      </c>
      <c r="M283" t="s">
        <v>75</v>
      </c>
      <c r="N283" t="s">
        <v>77</v>
      </c>
    </row>
    <row r="284" spans="1:14" x14ac:dyDescent="0.3">
      <c r="A284">
        <v>2283</v>
      </c>
      <c r="B284" s="4">
        <v>45341</v>
      </c>
      <c r="C284">
        <v>2024</v>
      </c>
      <c r="D284" t="s">
        <v>23</v>
      </c>
      <c r="E284" t="s">
        <v>37</v>
      </c>
      <c r="F284" t="s">
        <v>57</v>
      </c>
      <c r="G284" t="s">
        <v>73</v>
      </c>
      <c r="H284">
        <v>19</v>
      </c>
      <c r="I284">
        <v>95.05</v>
      </c>
      <c r="J284">
        <v>1805.95</v>
      </c>
      <c r="K284">
        <v>72.72</v>
      </c>
      <c r="L284">
        <v>424.27</v>
      </c>
      <c r="M284" t="s">
        <v>75</v>
      </c>
      <c r="N284" t="s">
        <v>79</v>
      </c>
    </row>
    <row r="285" spans="1:14" x14ac:dyDescent="0.3">
      <c r="A285">
        <v>2284</v>
      </c>
      <c r="B285" s="4">
        <v>45189</v>
      </c>
      <c r="C285">
        <v>2023</v>
      </c>
      <c r="D285" t="s">
        <v>19</v>
      </c>
      <c r="E285" t="s">
        <v>31</v>
      </c>
      <c r="F285" t="s">
        <v>59</v>
      </c>
      <c r="G285" t="s">
        <v>69</v>
      </c>
      <c r="H285">
        <v>1</v>
      </c>
      <c r="I285">
        <v>53.05</v>
      </c>
      <c r="J285">
        <v>53.05</v>
      </c>
      <c r="K285">
        <v>39.44</v>
      </c>
      <c r="L285">
        <v>13.61</v>
      </c>
      <c r="M285" t="s">
        <v>76</v>
      </c>
      <c r="N285" t="s">
        <v>78</v>
      </c>
    </row>
    <row r="286" spans="1:14" x14ac:dyDescent="0.3">
      <c r="A286">
        <v>2285</v>
      </c>
      <c r="B286" s="4">
        <v>45439</v>
      </c>
      <c r="C286">
        <v>2024</v>
      </c>
      <c r="D286" t="s">
        <v>23</v>
      </c>
      <c r="E286" t="s">
        <v>37</v>
      </c>
      <c r="F286" t="s">
        <v>57</v>
      </c>
      <c r="G286" t="s">
        <v>73</v>
      </c>
      <c r="H286">
        <v>7</v>
      </c>
      <c r="I286">
        <v>85.03</v>
      </c>
      <c r="J286">
        <v>595.21</v>
      </c>
      <c r="K286">
        <v>73.7</v>
      </c>
      <c r="L286">
        <v>79.31</v>
      </c>
      <c r="M286" t="s">
        <v>74</v>
      </c>
      <c r="N286" t="s">
        <v>80</v>
      </c>
    </row>
    <row r="287" spans="1:14" x14ac:dyDescent="0.3">
      <c r="A287">
        <v>2286</v>
      </c>
      <c r="B287" s="4">
        <v>45208</v>
      </c>
      <c r="C287">
        <v>2023</v>
      </c>
      <c r="D287" t="s">
        <v>19</v>
      </c>
      <c r="E287" t="s">
        <v>42</v>
      </c>
      <c r="F287" t="s">
        <v>48</v>
      </c>
      <c r="G287" t="s">
        <v>68</v>
      </c>
      <c r="H287">
        <v>16</v>
      </c>
      <c r="I287">
        <v>65.040000000000006</v>
      </c>
      <c r="J287">
        <v>1040.6400000000001</v>
      </c>
      <c r="K287">
        <v>55.77</v>
      </c>
      <c r="L287">
        <v>148.32</v>
      </c>
      <c r="M287" t="s">
        <v>74</v>
      </c>
      <c r="N287" t="s">
        <v>80</v>
      </c>
    </row>
    <row r="288" spans="1:14" x14ac:dyDescent="0.3">
      <c r="A288">
        <v>2287</v>
      </c>
      <c r="B288" s="4">
        <v>44674</v>
      </c>
      <c r="C288">
        <v>2022</v>
      </c>
      <c r="D288" t="s">
        <v>15</v>
      </c>
      <c r="E288" t="s">
        <v>28</v>
      </c>
      <c r="F288" t="s">
        <v>65</v>
      </c>
      <c r="G288" t="s">
        <v>73</v>
      </c>
      <c r="H288">
        <v>12</v>
      </c>
      <c r="I288">
        <v>122.65</v>
      </c>
      <c r="J288">
        <v>1471.8</v>
      </c>
      <c r="K288">
        <v>98.26</v>
      </c>
      <c r="L288">
        <v>292.68</v>
      </c>
      <c r="M288" t="s">
        <v>75</v>
      </c>
      <c r="N288" t="s">
        <v>78</v>
      </c>
    </row>
    <row r="289" spans="1:14" x14ac:dyDescent="0.3">
      <c r="A289">
        <v>2288</v>
      </c>
      <c r="B289" s="4">
        <v>45025</v>
      </c>
      <c r="C289">
        <v>2023</v>
      </c>
      <c r="D289" t="s">
        <v>19</v>
      </c>
      <c r="E289" t="s">
        <v>31</v>
      </c>
      <c r="F289" t="s">
        <v>50</v>
      </c>
      <c r="G289" t="s">
        <v>73</v>
      </c>
      <c r="H289">
        <v>9</v>
      </c>
      <c r="I289">
        <v>134.69</v>
      </c>
      <c r="J289">
        <v>1212.21</v>
      </c>
      <c r="K289">
        <v>114.31</v>
      </c>
      <c r="L289">
        <v>183.42</v>
      </c>
      <c r="M289" t="s">
        <v>74</v>
      </c>
      <c r="N289" t="s">
        <v>80</v>
      </c>
    </row>
    <row r="290" spans="1:14" x14ac:dyDescent="0.3">
      <c r="A290">
        <v>2289</v>
      </c>
      <c r="B290" s="4">
        <v>45456</v>
      </c>
      <c r="C290">
        <v>2024</v>
      </c>
      <c r="D290" t="s">
        <v>20</v>
      </c>
      <c r="E290" t="s">
        <v>32</v>
      </c>
      <c r="F290" t="s">
        <v>61</v>
      </c>
      <c r="G290" t="s">
        <v>68</v>
      </c>
      <c r="H290">
        <v>11</v>
      </c>
      <c r="I290">
        <v>131.69</v>
      </c>
      <c r="J290">
        <v>1448.59</v>
      </c>
      <c r="K290">
        <v>103.4</v>
      </c>
      <c r="L290">
        <v>311.19</v>
      </c>
      <c r="M290" t="s">
        <v>74</v>
      </c>
      <c r="N290" t="s">
        <v>80</v>
      </c>
    </row>
    <row r="291" spans="1:14" x14ac:dyDescent="0.3">
      <c r="A291">
        <v>2290</v>
      </c>
      <c r="B291" s="4">
        <v>44713</v>
      </c>
      <c r="C291">
        <v>2022</v>
      </c>
      <c r="D291" t="s">
        <v>15</v>
      </c>
      <c r="E291" t="s">
        <v>25</v>
      </c>
      <c r="F291" t="s">
        <v>46</v>
      </c>
      <c r="G291" t="s">
        <v>70</v>
      </c>
      <c r="H291">
        <v>20</v>
      </c>
      <c r="I291">
        <v>32.11</v>
      </c>
      <c r="J291">
        <v>642.20000000000005</v>
      </c>
      <c r="K291">
        <v>20.28</v>
      </c>
      <c r="L291">
        <v>236.6</v>
      </c>
      <c r="M291" t="s">
        <v>76</v>
      </c>
      <c r="N291" t="s">
        <v>80</v>
      </c>
    </row>
    <row r="292" spans="1:14" x14ac:dyDescent="0.3">
      <c r="A292">
        <v>2291</v>
      </c>
      <c r="B292" s="4">
        <v>44874</v>
      </c>
      <c r="C292">
        <v>2022</v>
      </c>
      <c r="D292" t="s">
        <v>22</v>
      </c>
      <c r="E292" t="s">
        <v>38</v>
      </c>
      <c r="F292" t="s">
        <v>66</v>
      </c>
      <c r="G292" t="s">
        <v>72</v>
      </c>
      <c r="H292">
        <v>17</v>
      </c>
      <c r="I292">
        <v>196.26</v>
      </c>
      <c r="J292">
        <v>3336.42</v>
      </c>
      <c r="K292">
        <v>166.78</v>
      </c>
      <c r="L292">
        <v>501.16</v>
      </c>
      <c r="M292" t="s">
        <v>74</v>
      </c>
      <c r="N292" t="s">
        <v>77</v>
      </c>
    </row>
    <row r="293" spans="1:14" x14ac:dyDescent="0.3">
      <c r="A293">
        <v>2292</v>
      </c>
      <c r="B293" s="4">
        <v>44751</v>
      </c>
      <c r="C293">
        <v>2022</v>
      </c>
      <c r="D293" t="s">
        <v>20</v>
      </c>
      <c r="E293" t="s">
        <v>32</v>
      </c>
      <c r="F293" t="s">
        <v>65</v>
      </c>
      <c r="G293" t="s">
        <v>73</v>
      </c>
      <c r="H293">
        <v>4</v>
      </c>
      <c r="I293">
        <v>63.54</v>
      </c>
      <c r="J293">
        <v>254.16</v>
      </c>
      <c r="K293">
        <v>56.63</v>
      </c>
      <c r="L293">
        <v>27.64</v>
      </c>
      <c r="M293" t="s">
        <v>76</v>
      </c>
      <c r="N293" t="s">
        <v>79</v>
      </c>
    </row>
    <row r="294" spans="1:14" x14ac:dyDescent="0.3">
      <c r="A294">
        <v>2293</v>
      </c>
      <c r="B294" s="4">
        <v>45006</v>
      </c>
      <c r="C294">
        <v>2023</v>
      </c>
      <c r="D294" t="s">
        <v>15</v>
      </c>
      <c r="E294" t="s">
        <v>25</v>
      </c>
      <c r="F294" t="s">
        <v>53</v>
      </c>
      <c r="G294" t="s">
        <v>69</v>
      </c>
      <c r="H294">
        <v>6</v>
      </c>
      <c r="I294">
        <v>124.44</v>
      </c>
      <c r="J294">
        <v>746.64</v>
      </c>
      <c r="K294">
        <v>76.42</v>
      </c>
      <c r="L294">
        <v>288.12</v>
      </c>
      <c r="M294" t="s">
        <v>74</v>
      </c>
      <c r="N294" t="s">
        <v>79</v>
      </c>
    </row>
    <row r="295" spans="1:14" x14ac:dyDescent="0.3">
      <c r="A295">
        <v>2294</v>
      </c>
      <c r="B295" s="4">
        <v>44798</v>
      </c>
      <c r="C295">
        <v>2022</v>
      </c>
      <c r="D295" t="s">
        <v>19</v>
      </c>
      <c r="E295" t="s">
        <v>39</v>
      </c>
      <c r="F295" t="s">
        <v>52</v>
      </c>
      <c r="G295" t="s">
        <v>71</v>
      </c>
      <c r="H295">
        <v>19</v>
      </c>
      <c r="I295">
        <v>181.83</v>
      </c>
      <c r="J295">
        <v>3454.77</v>
      </c>
      <c r="K295">
        <v>160.12</v>
      </c>
      <c r="L295">
        <v>412.49</v>
      </c>
      <c r="M295" t="s">
        <v>74</v>
      </c>
      <c r="N295" t="s">
        <v>78</v>
      </c>
    </row>
    <row r="296" spans="1:14" x14ac:dyDescent="0.3">
      <c r="A296">
        <v>2295</v>
      </c>
      <c r="B296" s="4">
        <v>45140</v>
      </c>
      <c r="C296">
        <v>2023</v>
      </c>
      <c r="D296" t="s">
        <v>15</v>
      </c>
      <c r="E296" t="s">
        <v>28</v>
      </c>
      <c r="F296" t="s">
        <v>56</v>
      </c>
      <c r="G296" t="s">
        <v>70</v>
      </c>
      <c r="H296">
        <v>11</v>
      </c>
      <c r="I296">
        <v>89.63</v>
      </c>
      <c r="J296">
        <v>985.93</v>
      </c>
      <c r="K296">
        <v>63.65</v>
      </c>
      <c r="L296">
        <v>285.77999999999997</v>
      </c>
      <c r="M296" t="s">
        <v>76</v>
      </c>
      <c r="N296" t="s">
        <v>80</v>
      </c>
    </row>
    <row r="297" spans="1:14" x14ac:dyDescent="0.3">
      <c r="A297">
        <v>2296</v>
      </c>
      <c r="B297" s="4">
        <v>45523</v>
      </c>
      <c r="C297">
        <v>2024</v>
      </c>
      <c r="D297" t="s">
        <v>23</v>
      </c>
      <c r="E297" t="s">
        <v>43</v>
      </c>
      <c r="F297" t="s">
        <v>46</v>
      </c>
      <c r="G297" t="s">
        <v>70</v>
      </c>
      <c r="H297">
        <v>9</v>
      </c>
      <c r="I297">
        <v>29.66</v>
      </c>
      <c r="J297">
        <v>266.94</v>
      </c>
      <c r="K297">
        <v>24.68</v>
      </c>
      <c r="L297">
        <v>44.82</v>
      </c>
      <c r="M297" t="s">
        <v>74</v>
      </c>
      <c r="N297" t="s">
        <v>79</v>
      </c>
    </row>
    <row r="298" spans="1:14" x14ac:dyDescent="0.3">
      <c r="A298">
        <v>2297</v>
      </c>
      <c r="B298" s="4">
        <v>45035</v>
      </c>
      <c r="C298">
        <v>2023</v>
      </c>
      <c r="D298" t="s">
        <v>18</v>
      </c>
      <c r="E298" t="s">
        <v>29</v>
      </c>
      <c r="F298" t="s">
        <v>63</v>
      </c>
      <c r="G298" t="s">
        <v>70</v>
      </c>
      <c r="H298">
        <v>5</v>
      </c>
      <c r="I298">
        <v>127.71</v>
      </c>
      <c r="J298">
        <v>638.54999999999995</v>
      </c>
      <c r="K298">
        <v>95.94</v>
      </c>
      <c r="L298">
        <v>158.85</v>
      </c>
      <c r="M298" t="s">
        <v>76</v>
      </c>
      <c r="N298" t="s">
        <v>79</v>
      </c>
    </row>
    <row r="299" spans="1:14" x14ac:dyDescent="0.3">
      <c r="A299">
        <v>2298</v>
      </c>
      <c r="B299" s="4">
        <v>44657</v>
      </c>
      <c r="C299">
        <v>2022</v>
      </c>
      <c r="D299" t="s">
        <v>21</v>
      </c>
      <c r="E299" t="s">
        <v>33</v>
      </c>
      <c r="F299" t="s">
        <v>52</v>
      </c>
      <c r="G299" t="s">
        <v>71</v>
      </c>
      <c r="H299">
        <v>20</v>
      </c>
      <c r="I299">
        <v>129.84</v>
      </c>
      <c r="J299">
        <v>2596.8000000000002</v>
      </c>
      <c r="K299">
        <v>99.81</v>
      </c>
      <c r="L299">
        <v>600.6</v>
      </c>
      <c r="M299" t="s">
        <v>76</v>
      </c>
      <c r="N299" t="s">
        <v>79</v>
      </c>
    </row>
    <row r="300" spans="1:14" x14ac:dyDescent="0.3">
      <c r="A300">
        <v>2299</v>
      </c>
      <c r="B300" s="4">
        <v>45366</v>
      </c>
      <c r="C300">
        <v>2024</v>
      </c>
      <c r="D300" t="s">
        <v>23</v>
      </c>
      <c r="E300" t="s">
        <v>37</v>
      </c>
      <c r="F300" t="s">
        <v>64</v>
      </c>
      <c r="G300" t="s">
        <v>70</v>
      </c>
      <c r="H300">
        <v>18</v>
      </c>
      <c r="I300">
        <v>199.16</v>
      </c>
      <c r="J300">
        <v>3584.88</v>
      </c>
      <c r="K300">
        <v>134.06</v>
      </c>
      <c r="L300">
        <v>1171.8</v>
      </c>
      <c r="M300" t="s">
        <v>75</v>
      </c>
      <c r="N300" t="s">
        <v>79</v>
      </c>
    </row>
    <row r="301" spans="1:14" x14ac:dyDescent="0.3">
      <c r="A301">
        <v>2300</v>
      </c>
      <c r="B301" s="4">
        <v>44989</v>
      </c>
      <c r="C301">
        <v>2023</v>
      </c>
      <c r="D301" t="s">
        <v>21</v>
      </c>
      <c r="E301" t="s">
        <v>41</v>
      </c>
      <c r="F301" t="s">
        <v>51</v>
      </c>
      <c r="G301" t="s">
        <v>69</v>
      </c>
      <c r="H301">
        <v>9</v>
      </c>
      <c r="I301">
        <v>188.38</v>
      </c>
      <c r="J301">
        <v>1695.42</v>
      </c>
      <c r="K301">
        <v>125.16</v>
      </c>
      <c r="L301">
        <v>568.98</v>
      </c>
      <c r="M301" t="s">
        <v>76</v>
      </c>
      <c r="N301" t="s">
        <v>78</v>
      </c>
    </row>
    <row r="302" spans="1:14" x14ac:dyDescent="0.3">
      <c r="A302">
        <v>2301</v>
      </c>
      <c r="B302" s="4">
        <v>45043</v>
      </c>
      <c r="C302">
        <v>2023</v>
      </c>
      <c r="D302" t="s">
        <v>16</v>
      </c>
      <c r="E302" t="s">
        <v>35</v>
      </c>
      <c r="F302" t="s">
        <v>47</v>
      </c>
      <c r="G302" t="s">
        <v>71</v>
      </c>
      <c r="H302">
        <v>19</v>
      </c>
      <c r="I302">
        <v>166.14</v>
      </c>
      <c r="J302">
        <v>3156.66</v>
      </c>
      <c r="K302">
        <v>122.11</v>
      </c>
      <c r="L302">
        <v>836.57</v>
      </c>
      <c r="M302" t="s">
        <v>76</v>
      </c>
      <c r="N302" t="s">
        <v>80</v>
      </c>
    </row>
    <row r="303" spans="1:14" x14ac:dyDescent="0.3">
      <c r="A303">
        <v>2302</v>
      </c>
      <c r="B303" s="4">
        <v>44670</v>
      </c>
      <c r="C303">
        <v>2022</v>
      </c>
      <c r="D303" t="s">
        <v>23</v>
      </c>
      <c r="E303" t="s">
        <v>43</v>
      </c>
      <c r="F303" t="s">
        <v>54</v>
      </c>
      <c r="G303" t="s">
        <v>72</v>
      </c>
      <c r="H303">
        <v>11</v>
      </c>
      <c r="I303">
        <v>131.06</v>
      </c>
      <c r="J303">
        <v>1441.66</v>
      </c>
      <c r="K303">
        <v>96.61</v>
      </c>
      <c r="L303">
        <v>378.95</v>
      </c>
      <c r="M303" t="s">
        <v>75</v>
      </c>
      <c r="N303" t="s">
        <v>77</v>
      </c>
    </row>
    <row r="304" spans="1:14" x14ac:dyDescent="0.3">
      <c r="A304">
        <v>2303</v>
      </c>
      <c r="B304" s="4">
        <v>44931</v>
      </c>
      <c r="C304">
        <v>2023</v>
      </c>
      <c r="D304" t="s">
        <v>14</v>
      </c>
      <c r="E304" t="s">
        <v>30</v>
      </c>
      <c r="F304" t="s">
        <v>47</v>
      </c>
      <c r="G304" t="s">
        <v>71</v>
      </c>
      <c r="H304">
        <v>10</v>
      </c>
      <c r="I304">
        <v>141.96</v>
      </c>
      <c r="J304">
        <v>1419.6</v>
      </c>
      <c r="K304">
        <v>100.55</v>
      </c>
      <c r="L304">
        <v>414.1</v>
      </c>
      <c r="M304" t="s">
        <v>75</v>
      </c>
      <c r="N304" t="s">
        <v>80</v>
      </c>
    </row>
    <row r="305" spans="1:14" x14ac:dyDescent="0.3">
      <c r="A305">
        <v>2304</v>
      </c>
      <c r="B305" s="4">
        <v>45515</v>
      </c>
      <c r="C305">
        <v>2024</v>
      </c>
      <c r="D305" t="s">
        <v>21</v>
      </c>
      <c r="E305" t="s">
        <v>33</v>
      </c>
      <c r="F305" t="s">
        <v>48</v>
      </c>
      <c r="G305" t="s">
        <v>68</v>
      </c>
      <c r="H305">
        <v>15</v>
      </c>
      <c r="I305">
        <v>117.62</v>
      </c>
      <c r="J305">
        <v>1764.3</v>
      </c>
      <c r="K305">
        <v>72.55</v>
      </c>
      <c r="L305">
        <v>676.05</v>
      </c>
      <c r="M305" t="s">
        <v>75</v>
      </c>
      <c r="N305" t="s">
        <v>78</v>
      </c>
    </row>
    <row r="306" spans="1:14" x14ac:dyDescent="0.3">
      <c r="A306">
        <v>2305</v>
      </c>
      <c r="B306" s="4">
        <v>45008</v>
      </c>
      <c r="C306">
        <v>2023</v>
      </c>
      <c r="D306" t="s">
        <v>15</v>
      </c>
      <c r="E306" t="s">
        <v>28</v>
      </c>
      <c r="F306" t="s">
        <v>45</v>
      </c>
      <c r="G306" t="s">
        <v>69</v>
      </c>
      <c r="H306">
        <v>11</v>
      </c>
      <c r="I306">
        <v>199.45</v>
      </c>
      <c r="J306">
        <v>2193.9499999999998</v>
      </c>
      <c r="K306">
        <v>134.41999999999999</v>
      </c>
      <c r="L306">
        <v>715.33</v>
      </c>
      <c r="M306" t="s">
        <v>76</v>
      </c>
      <c r="N306" t="s">
        <v>80</v>
      </c>
    </row>
    <row r="307" spans="1:14" x14ac:dyDescent="0.3">
      <c r="A307">
        <v>2306</v>
      </c>
      <c r="B307" s="4">
        <v>45325</v>
      </c>
      <c r="C307">
        <v>2024</v>
      </c>
      <c r="D307" t="s">
        <v>20</v>
      </c>
      <c r="E307" t="s">
        <v>32</v>
      </c>
      <c r="F307" t="s">
        <v>47</v>
      </c>
      <c r="G307" t="s">
        <v>71</v>
      </c>
      <c r="H307">
        <v>17</v>
      </c>
      <c r="I307">
        <v>45.25</v>
      </c>
      <c r="J307">
        <v>769.25</v>
      </c>
      <c r="K307">
        <v>28.65</v>
      </c>
      <c r="L307">
        <v>282.2</v>
      </c>
      <c r="M307" t="s">
        <v>76</v>
      </c>
      <c r="N307" t="s">
        <v>77</v>
      </c>
    </row>
    <row r="308" spans="1:14" x14ac:dyDescent="0.3">
      <c r="A308">
        <v>2307</v>
      </c>
      <c r="B308" s="4">
        <v>45423</v>
      </c>
      <c r="C308">
        <v>2024</v>
      </c>
      <c r="D308" t="s">
        <v>22</v>
      </c>
      <c r="E308" t="s">
        <v>38</v>
      </c>
      <c r="F308" t="s">
        <v>60</v>
      </c>
      <c r="G308" t="s">
        <v>73</v>
      </c>
      <c r="H308">
        <v>14</v>
      </c>
      <c r="I308">
        <v>54.54</v>
      </c>
      <c r="J308">
        <v>763.56</v>
      </c>
      <c r="K308">
        <v>42.58</v>
      </c>
      <c r="L308">
        <v>167.44</v>
      </c>
      <c r="M308" t="s">
        <v>75</v>
      </c>
      <c r="N308" t="s">
        <v>80</v>
      </c>
    </row>
    <row r="309" spans="1:14" x14ac:dyDescent="0.3">
      <c r="A309">
        <v>2308</v>
      </c>
      <c r="B309" s="4">
        <v>44598</v>
      </c>
      <c r="C309">
        <v>2022</v>
      </c>
      <c r="D309" t="s">
        <v>21</v>
      </c>
      <c r="E309" t="s">
        <v>41</v>
      </c>
      <c r="F309" t="s">
        <v>61</v>
      </c>
      <c r="G309" t="s">
        <v>68</v>
      </c>
      <c r="H309">
        <v>8</v>
      </c>
      <c r="I309">
        <v>50.12</v>
      </c>
      <c r="J309">
        <v>400.96</v>
      </c>
      <c r="K309">
        <v>30.81</v>
      </c>
      <c r="L309">
        <v>154.47999999999999</v>
      </c>
      <c r="M309" t="s">
        <v>76</v>
      </c>
      <c r="N309" t="s">
        <v>78</v>
      </c>
    </row>
    <row r="310" spans="1:14" x14ac:dyDescent="0.3">
      <c r="A310">
        <v>2309</v>
      </c>
      <c r="B310" s="4">
        <v>45089</v>
      </c>
      <c r="C310">
        <v>2023</v>
      </c>
      <c r="D310" t="s">
        <v>20</v>
      </c>
      <c r="E310" t="s">
        <v>32</v>
      </c>
      <c r="F310" t="s">
        <v>53</v>
      </c>
      <c r="G310" t="s">
        <v>69</v>
      </c>
      <c r="H310">
        <v>6</v>
      </c>
      <c r="I310">
        <v>152.91</v>
      </c>
      <c r="J310">
        <v>917.46</v>
      </c>
      <c r="K310">
        <v>113.78</v>
      </c>
      <c r="L310">
        <v>234.78</v>
      </c>
      <c r="M310" t="s">
        <v>74</v>
      </c>
      <c r="N310" t="s">
        <v>80</v>
      </c>
    </row>
    <row r="311" spans="1:14" x14ac:dyDescent="0.3">
      <c r="A311">
        <v>2310</v>
      </c>
      <c r="B311" s="4">
        <v>45130</v>
      </c>
      <c r="C311">
        <v>2023</v>
      </c>
      <c r="D311" t="s">
        <v>14</v>
      </c>
      <c r="E311" t="s">
        <v>30</v>
      </c>
      <c r="F311" t="s">
        <v>66</v>
      </c>
      <c r="G311" t="s">
        <v>72</v>
      </c>
      <c r="H311">
        <v>1</v>
      </c>
      <c r="I311">
        <v>28.79</v>
      </c>
      <c r="J311">
        <v>28.79</v>
      </c>
      <c r="K311">
        <v>18.62</v>
      </c>
      <c r="L311">
        <v>10.17</v>
      </c>
      <c r="M311" t="s">
        <v>76</v>
      </c>
      <c r="N311" t="s">
        <v>78</v>
      </c>
    </row>
    <row r="312" spans="1:14" x14ac:dyDescent="0.3">
      <c r="A312">
        <v>2311</v>
      </c>
      <c r="B312" s="4">
        <v>45265</v>
      </c>
      <c r="C312">
        <v>2023</v>
      </c>
      <c r="D312" t="s">
        <v>23</v>
      </c>
      <c r="E312" t="s">
        <v>43</v>
      </c>
      <c r="F312" t="s">
        <v>47</v>
      </c>
      <c r="G312" t="s">
        <v>71</v>
      </c>
      <c r="H312">
        <v>5</v>
      </c>
      <c r="I312">
        <v>132.81</v>
      </c>
      <c r="J312">
        <v>664.05</v>
      </c>
      <c r="K312">
        <v>118.37</v>
      </c>
      <c r="L312">
        <v>72.2</v>
      </c>
      <c r="M312" t="s">
        <v>76</v>
      </c>
      <c r="N312" t="s">
        <v>80</v>
      </c>
    </row>
    <row r="313" spans="1:14" x14ac:dyDescent="0.3">
      <c r="A313">
        <v>2312</v>
      </c>
      <c r="B313" s="4">
        <v>45522</v>
      </c>
      <c r="C313">
        <v>2024</v>
      </c>
      <c r="D313" t="s">
        <v>22</v>
      </c>
      <c r="E313" t="s">
        <v>38</v>
      </c>
      <c r="F313" t="s">
        <v>63</v>
      </c>
      <c r="G313" t="s">
        <v>70</v>
      </c>
      <c r="H313">
        <v>18</v>
      </c>
      <c r="I313">
        <v>134.16999999999999</v>
      </c>
      <c r="J313">
        <v>2415.06</v>
      </c>
      <c r="K313">
        <v>98.54</v>
      </c>
      <c r="L313">
        <v>641.34</v>
      </c>
      <c r="M313" t="s">
        <v>74</v>
      </c>
      <c r="N313" t="s">
        <v>78</v>
      </c>
    </row>
    <row r="314" spans="1:14" x14ac:dyDescent="0.3">
      <c r="A314">
        <v>2313</v>
      </c>
      <c r="B314" s="4">
        <v>44674</v>
      </c>
      <c r="C314">
        <v>2022</v>
      </c>
      <c r="D314" t="s">
        <v>16</v>
      </c>
      <c r="E314" t="s">
        <v>26</v>
      </c>
      <c r="F314" t="s">
        <v>49</v>
      </c>
      <c r="G314" t="s">
        <v>72</v>
      </c>
      <c r="H314">
        <v>17</v>
      </c>
      <c r="I314">
        <v>37.409999999999997</v>
      </c>
      <c r="J314">
        <v>635.97</v>
      </c>
      <c r="K314">
        <v>27.6</v>
      </c>
      <c r="L314">
        <v>166.77</v>
      </c>
      <c r="M314" t="s">
        <v>76</v>
      </c>
      <c r="N314" t="s">
        <v>77</v>
      </c>
    </row>
    <row r="315" spans="1:14" x14ac:dyDescent="0.3">
      <c r="A315">
        <v>2314</v>
      </c>
      <c r="B315" s="4">
        <v>44913</v>
      </c>
      <c r="C315">
        <v>2022</v>
      </c>
      <c r="D315" t="s">
        <v>15</v>
      </c>
      <c r="E315" t="s">
        <v>25</v>
      </c>
      <c r="F315" t="s">
        <v>53</v>
      </c>
      <c r="G315" t="s">
        <v>69</v>
      </c>
      <c r="H315">
        <v>7</v>
      </c>
      <c r="I315">
        <v>147.30000000000001</v>
      </c>
      <c r="J315">
        <v>1031.0999999999999</v>
      </c>
      <c r="K315">
        <v>119.2</v>
      </c>
      <c r="L315">
        <v>196.7</v>
      </c>
      <c r="M315" t="s">
        <v>74</v>
      </c>
      <c r="N315" t="s">
        <v>80</v>
      </c>
    </row>
    <row r="316" spans="1:14" x14ac:dyDescent="0.3">
      <c r="A316">
        <v>2315</v>
      </c>
      <c r="B316" s="4">
        <v>45505</v>
      </c>
      <c r="C316">
        <v>2024</v>
      </c>
      <c r="D316" t="s">
        <v>19</v>
      </c>
      <c r="E316" t="s">
        <v>31</v>
      </c>
      <c r="F316" t="s">
        <v>55</v>
      </c>
      <c r="G316" t="s">
        <v>71</v>
      </c>
      <c r="H316">
        <v>20</v>
      </c>
      <c r="I316">
        <v>36.85</v>
      </c>
      <c r="J316">
        <v>737</v>
      </c>
      <c r="K316">
        <v>31.6</v>
      </c>
      <c r="L316">
        <v>105</v>
      </c>
      <c r="M316" t="s">
        <v>76</v>
      </c>
      <c r="N316" t="s">
        <v>77</v>
      </c>
    </row>
    <row r="317" spans="1:14" x14ac:dyDescent="0.3">
      <c r="A317">
        <v>2316</v>
      </c>
      <c r="B317" s="4">
        <v>44585</v>
      </c>
      <c r="C317">
        <v>2022</v>
      </c>
      <c r="D317" t="s">
        <v>15</v>
      </c>
      <c r="E317" t="s">
        <v>25</v>
      </c>
      <c r="F317" t="s">
        <v>63</v>
      </c>
      <c r="G317" t="s">
        <v>70</v>
      </c>
      <c r="H317">
        <v>14</v>
      </c>
      <c r="I317">
        <v>30.95</v>
      </c>
      <c r="J317">
        <v>433.3</v>
      </c>
      <c r="K317">
        <v>22.94</v>
      </c>
      <c r="L317">
        <v>112.14</v>
      </c>
      <c r="M317" t="s">
        <v>75</v>
      </c>
      <c r="N317" t="s">
        <v>80</v>
      </c>
    </row>
    <row r="318" spans="1:14" x14ac:dyDescent="0.3">
      <c r="A318">
        <v>2317</v>
      </c>
      <c r="B318" s="4">
        <v>44981</v>
      </c>
      <c r="C318">
        <v>2023</v>
      </c>
      <c r="D318" t="s">
        <v>19</v>
      </c>
      <c r="E318" t="s">
        <v>42</v>
      </c>
      <c r="F318" t="s">
        <v>44</v>
      </c>
      <c r="G318" t="s">
        <v>68</v>
      </c>
      <c r="H318">
        <v>13</v>
      </c>
      <c r="I318">
        <v>72.77</v>
      </c>
      <c r="J318">
        <v>946.01</v>
      </c>
      <c r="K318">
        <v>65.319999999999993</v>
      </c>
      <c r="L318">
        <v>96.85</v>
      </c>
      <c r="M318" t="s">
        <v>76</v>
      </c>
      <c r="N318" t="s">
        <v>77</v>
      </c>
    </row>
    <row r="319" spans="1:14" x14ac:dyDescent="0.3">
      <c r="A319">
        <v>2318</v>
      </c>
      <c r="B319" s="4">
        <v>44988</v>
      </c>
      <c r="C319">
        <v>2023</v>
      </c>
      <c r="D319" t="s">
        <v>22</v>
      </c>
      <c r="E319" t="s">
        <v>36</v>
      </c>
      <c r="F319" t="s">
        <v>45</v>
      </c>
      <c r="G319" t="s">
        <v>69</v>
      </c>
      <c r="H319">
        <v>7</v>
      </c>
      <c r="I319">
        <v>104.53</v>
      </c>
      <c r="J319">
        <v>731.71</v>
      </c>
      <c r="K319">
        <v>78.53</v>
      </c>
      <c r="L319">
        <v>182</v>
      </c>
      <c r="M319" t="s">
        <v>74</v>
      </c>
      <c r="N319" t="s">
        <v>80</v>
      </c>
    </row>
    <row r="320" spans="1:14" x14ac:dyDescent="0.3">
      <c r="A320">
        <v>2319</v>
      </c>
      <c r="B320" s="4">
        <v>45044</v>
      </c>
      <c r="C320">
        <v>2023</v>
      </c>
      <c r="D320" t="s">
        <v>15</v>
      </c>
      <c r="E320" t="s">
        <v>28</v>
      </c>
      <c r="F320" t="s">
        <v>59</v>
      </c>
      <c r="G320" t="s">
        <v>69</v>
      </c>
      <c r="H320">
        <v>19</v>
      </c>
      <c r="I320">
        <v>185.57</v>
      </c>
      <c r="J320">
        <v>3525.83</v>
      </c>
      <c r="K320">
        <v>150.82</v>
      </c>
      <c r="L320">
        <v>660.25</v>
      </c>
      <c r="M320" t="s">
        <v>75</v>
      </c>
      <c r="N320" t="s">
        <v>79</v>
      </c>
    </row>
    <row r="321" spans="1:14" x14ac:dyDescent="0.3">
      <c r="A321">
        <v>2320</v>
      </c>
      <c r="B321" s="4">
        <v>44989</v>
      </c>
      <c r="C321">
        <v>2023</v>
      </c>
      <c r="D321" t="s">
        <v>23</v>
      </c>
      <c r="E321" t="s">
        <v>43</v>
      </c>
      <c r="F321" t="s">
        <v>65</v>
      </c>
      <c r="G321" t="s">
        <v>73</v>
      </c>
      <c r="H321">
        <v>3</v>
      </c>
      <c r="I321">
        <v>22.96</v>
      </c>
      <c r="J321">
        <v>68.88</v>
      </c>
      <c r="K321">
        <v>15.74</v>
      </c>
      <c r="L321">
        <v>21.66</v>
      </c>
      <c r="M321" t="s">
        <v>76</v>
      </c>
      <c r="N321" t="s">
        <v>77</v>
      </c>
    </row>
    <row r="322" spans="1:14" x14ac:dyDescent="0.3">
      <c r="A322">
        <v>2321</v>
      </c>
      <c r="B322" s="4">
        <v>44942</v>
      </c>
      <c r="C322">
        <v>2023</v>
      </c>
      <c r="D322" t="s">
        <v>23</v>
      </c>
      <c r="E322" t="s">
        <v>43</v>
      </c>
      <c r="F322" t="s">
        <v>45</v>
      </c>
      <c r="G322" t="s">
        <v>69</v>
      </c>
      <c r="H322">
        <v>15</v>
      </c>
      <c r="I322">
        <v>163.83000000000001</v>
      </c>
      <c r="J322">
        <v>2457.4499999999998</v>
      </c>
      <c r="K322">
        <v>118.21</v>
      </c>
      <c r="L322">
        <v>684.3</v>
      </c>
      <c r="M322" t="s">
        <v>74</v>
      </c>
      <c r="N322" t="s">
        <v>80</v>
      </c>
    </row>
    <row r="323" spans="1:14" x14ac:dyDescent="0.3">
      <c r="A323">
        <v>2322</v>
      </c>
      <c r="B323" s="4">
        <v>44566</v>
      </c>
      <c r="C323">
        <v>2022</v>
      </c>
      <c r="D323" t="s">
        <v>22</v>
      </c>
      <c r="E323" t="s">
        <v>36</v>
      </c>
      <c r="F323" t="s">
        <v>57</v>
      </c>
      <c r="G323" t="s">
        <v>73</v>
      </c>
      <c r="H323">
        <v>17</v>
      </c>
      <c r="I323">
        <v>192.15</v>
      </c>
      <c r="J323">
        <v>3266.55</v>
      </c>
      <c r="K323">
        <v>152.11000000000001</v>
      </c>
      <c r="L323">
        <v>680.68</v>
      </c>
      <c r="M323" t="s">
        <v>74</v>
      </c>
      <c r="N323" t="s">
        <v>77</v>
      </c>
    </row>
    <row r="324" spans="1:14" x14ac:dyDescent="0.3">
      <c r="A324">
        <v>2323</v>
      </c>
      <c r="B324" s="4">
        <v>45428</v>
      </c>
      <c r="C324">
        <v>2024</v>
      </c>
      <c r="D324" t="s">
        <v>17</v>
      </c>
      <c r="E324" t="s">
        <v>27</v>
      </c>
      <c r="F324" t="s">
        <v>51</v>
      </c>
      <c r="G324" t="s">
        <v>69</v>
      </c>
      <c r="H324">
        <v>4</v>
      </c>
      <c r="I324">
        <v>81</v>
      </c>
      <c r="J324">
        <v>324</v>
      </c>
      <c r="K324">
        <v>60.31</v>
      </c>
      <c r="L324">
        <v>82.76</v>
      </c>
      <c r="M324" t="s">
        <v>76</v>
      </c>
      <c r="N324" t="s">
        <v>77</v>
      </c>
    </row>
    <row r="325" spans="1:14" x14ac:dyDescent="0.3">
      <c r="A325">
        <v>2324</v>
      </c>
      <c r="B325" s="4">
        <v>45605</v>
      </c>
      <c r="C325">
        <v>2024</v>
      </c>
      <c r="D325" t="s">
        <v>19</v>
      </c>
      <c r="E325" t="s">
        <v>31</v>
      </c>
      <c r="F325" t="s">
        <v>52</v>
      </c>
      <c r="G325" t="s">
        <v>71</v>
      </c>
      <c r="H325">
        <v>12</v>
      </c>
      <c r="I325">
        <v>73.040000000000006</v>
      </c>
      <c r="J325">
        <v>876.48</v>
      </c>
      <c r="K325">
        <v>47.43</v>
      </c>
      <c r="L325">
        <v>307.32</v>
      </c>
      <c r="M325" t="s">
        <v>76</v>
      </c>
      <c r="N325" t="s">
        <v>80</v>
      </c>
    </row>
    <row r="326" spans="1:14" x14ac:dyDescent="0.3">
      <c r="A326">
        <v>2325</v>
      </c>
      <c r="B326" s="4">
        <v>45361</v>
      </c>
      <c r="C326">
        <v>2024</v>
      </c>
      <c r="D326" t="s">
        <v>21</v>
      </c>
      <c r="E326" t="s">
        <v>33</v>
      </c>
      <c r="F326" t="s">
        <v>52</v>
      </c>
      <c r="G326" t="s">
        <v>71</v>
      </c>
      <c r="H326">
        <v>13</v>
      </c>
      <c r="I326">
        <v>52.69</v>
      </c>
      <c r="J326">
        <v>684.97</v>
      </c>
      <c r="K326">
        <v>33.58</v>
      </c>
      <c r="L326">
        <v>248.43</v>
      </c>
      <c r="M326" t="s">
        <v>75</v>
      </c>
      <c r="N326" t="s">
        <v>77</v>
      </c>
    </row>
    <row r="327" spans="1:14" x14ac:dyDescent="0.3">
      <c r="A327">
        <v>2326</v>
      </c>
      <c r="B327" s="4">
        <v>45089</v>
      </c>
      <c r="C327">
        <v>2023</v>
      </c>
      <c r="D327" t="s">
        <v>19</v>
      </c>
      <c r="E327" t="s">
        <v>42</v>
      </c>
      <c r="F327" t="s">
        <v>45</v>
      </c>
      <c r="G327" t="s">
        <v>69</v>
      </c>
      <c r="H327">
        <v>12</v>
      </c>
      <c r="I327">
        <v>55.39</v>
      </c>
      <c r="J327">
        <v>664.68</v>
      </c>
      <c r="K327">
        <v>39.78</v>
      </c>
      <c r="L327">
        <v>187.32</v>
      </c>
      <c r="M327" t="s">
        <v>76</v>
      </c>
      <c r="N327" t="s">
        <v>78</v>
      </c>
    </row>
    <row r="328" spans="1:14" x14ac:dyDescent="0.3">
      <c r="A328">
        <v>2327</v>
      </c>
      <c r="B328" s="4">
        <v>45654</v>
      </c>
      <c r="C328">
        <v>2024</v>
      </c>
      <c r="D328" t="s">
        <v>23</v>
      </c>
      <c r="E328" t="s">
        <v>37</v>
      </c>
      <c r="F328" t="s">
        <v>46</v>
      </c>
      <c r="G328" t="s">
        <v>70</v>
      </c>
      <c r="H328">
        <v>2</v>
      </c>
      <c r="I328">
        <v>109.8</v>
      </c>
      <c r="J328">
        <v>219.6</v>
      </c>
      <c r="K328">
        <v>81.52</v>
      </c>
      <c r="L328">
        <v>56.56</v>
      </c>
      <c r="M328" t="s">
        <v>74</v>
      </c>
      <c r="N328" t="s">
        <v>78</v>
      </c>
    </row>
    <row r="329" spans="1:14" x14ac:dyDescent="0.3">
      <c r="A329">
        <v>2328</v>
      </c>
      <c r="B329" s="4">
        <v>44766</v>
      </c>
      <c r="C329">
        <v>2022</v>
      </c>
      <c r="D329" t="s">
        <v>21</v>
      </c>
      <c r="E329" t="s">
        <v>33</v>
      </c>
      <c r="F329" t="s">
        <v>49</v>
      </c>
      <c r="G329" t="s">
        <v>72</v>
      </c>
      <c r="H329">
        <v>14</v>
      </c>
      <c r="I329">
        <v>151.15</v>
      </c>
      <c r="J329">
        <v>2116.1</v>
      </c>
      <c r="K329">
        <v>117.19</v>
      </c>
      <c r="L329">
        <v>475.44</v>
      </c>
      <c r="M329" t="s">
        <v>75</v>
      </c>
      <c r="N329" t="s">
        <v>77</v>
      </c>
    </row>
    <row r="330" spans="1:14" x14ac:dyDescent="0.3">
      <c r="A330">
        <v>2329</v>
      </c>
      <c r="B330" s="4">
        <v>44902</v>
      </c>
      <c r="C330">
        <v>2022</v>
      </c>
      <c r="D330" t="s">
        <v>22</v>
      </c>
      <c r="E330" t="s">
        <v>38</v>
      </c>
      <c r="F330" t="s">
        <v>44</v>
      </c>
      <c r="G330" t="s">
        <v>68</v>
      </c>
      <c r="H330">
        <v>6</v>
      </c>
      <c r="I330">
        <v>135.44</v>
      </c>
      <c r="J330">
        <v>812.64</v>
      </c>
      <c r="K330">
        <v>84.56</v>
      </c>
      <c r="L330">
        <v>305.27999999999997</v>
      </c>
      <c r="M330" t="s">
        <v>75</v>
      </c>
      <c r="N330" t="s">
        <v>78</v>
      </c>
    </row>
    <row r="331" spans="1:14" x14ac:dyDescent="0.3">
      <c r="A331">
        <v>2330</v>
      </c>
      <c r="B331" s="4">
        <v>44859</v>
      </c>
      <c r="C331">
        <v>2022</v>
      </c>
      <c r="D331" t="s">
        <v>15</v>
      </c>
      <c r="E331" t="s">
        <v>28</v>
      </c>
      <c r="F331" t="s">
        <v>56</v>
      </c>
      <c r="G331" t="s">
        <v>70</v>
      </c>
      <c r="H331">
        <v>1</v>
      </c>
      <c r="I331">
        <v>120.93</v>
      </c>
      <c r="J331">
        <v>120.93</v>
      </c>
      <c r="K331">
        <v>78.39</v>
      </c>
      <c r="L331">
        <v>42.54</v>
      </c>
      <c r="M331" t="s">
        <v>74</v>
      </c>
      <c r="N331" t="s">
        <v>80</v>
      </c>
    </row>
    <row r="332" spans="1:14" x14ac:dyDescent="0.3">
      <c r="A332">
        <v>2331</v>
      </c>
      <c r="B332" s="4">
        <v>44582</v>
      </c>
      <c r="C332">
        <v>2022</v>
      </c>
      <c r="D332" t="s">
        <v>21</v>
      </c>
      <c r="E332" t="s">
        <v>41</v>
      </c>
      <c r="F332" t="s">
        <v>44</v>
      </c>
      <c r="G332" t="s">
        <v>68</v>
      </c>
      <c r="H332">
        <v>13</v>
      </c>
      <c r="I332">
        <v>189.22</v>
      </c>
      <c r="J332">
        <v>2459.86</v>
      </c>
      <c r="K332">
        <v>141.35</v>
      </c>
      <c r="L332">
        <v>622.30999999999995</v>
      </c>
      <c r="M332" t="s">
        <v>75</v>
      </c>
      <c r="N332" t="s">
        <v>80</v>
      </c>
    </row>
    <row r="333" spans="1:14" x14ac:dyDescent="0.3">
      <c r="A333">
        <v>2332</v>
      </c>
      <c r="B333" s="4">
        <v>45429</v>
      </c>
      <c r="C333">
        <v>2024</v>
      </c>
      <c r="D333" t="s">
        <v>18</v>
      </c>
      <c r="E333" t="s">
        <v>29</v>
      </c>
      <c r="F333" t="s">
        <v>63</v>
      </c>
      <c r="G333" t="s">
        <v>70</v>
      </c>
      <c r="H333">
        <v>16</v>
      </c>
      <c r="I333">
        <v>81.55</v>
      </c>
      <c r="J333">
        <v>1304.8</v>
      </c>
      <c r="K333">
        <v>58.99</v>
      </c>
      <c r="L333">
        <v>360.96</v>
      </c>
      <c r="M333" t="s">
        <v>76</v>
      </c>
      <c r="N333" t="s">
        <v>78</v>
      </c>
    </row>
    <row r="334" spans="1:14" x14ac:dyDescent="0.3">
      <c r="A334">
        <v>2333</v>
      </c>
      <c r="B334" s="4">
        <v>45336</v>
      </c>
      <c r="C334">
        <v>2024</v>
      </c>
      <c r="D334" t="s">
        <v>23</v>
      </c>
      <c r="E334" t="s">
        <v>37</v>
      </c>
      <c r="F334" t="s">
        <v>64</v>
      </c>
      <c r="G334" t="s">
        <v>70</v>
      </c>
      <c r="H334">
        <v>9</v>
      </c>
      <c r="I334">
        <v>101.85</v>
      </c>
      <c r="J334">
        <v>916.65</v>
      </c>
      <c r="K334">
        <v>89.47</v>
      </c>
      <c r="L334">
        <v>111.42</v>
      </c>
      <c r="M334" t="s">
        <v>76</v>
      </c>
      <c r="N334" t="s">
        <v>79</v>
      </c>
    </row>
    <row r="335" spans="1:14" x14ac:dyDescent="0.3">
      <c r="A335">
        <v>2334</v>
      </c>
      <c r="B335" s="4">
        <v>44891</v>
      </c>
      <c r="C335">
        <v>2022</v>
      </c>
      <c r="D335" t="s">
        <v>19</v>
      </c>
      <c r="E335" t="s">
        <v>39</v>
      </c>
      <c r="F335" t="s">
        <v>66</v>
      </c>
      <c r="G335" t="s">
        <v>72</v>
      </c>
      <c r="H335">
        <v>7</v>
      </c>
      <c r="I335">
        <v>29.54</v>
      </c>
      <c r="J335">
        <v>206.78</v>
      </c>
      <c r="K335">
        <v>18.059999999999999</v>
      </c>
      <c r="L335">
        <v>80.36</v>
      </c>
      <c r="M335" t="s">
        <v>75</v>
      </c>
      <c r="N335" t="s">
        <v>79</v>
      </c>
    </row>
    <row r="336" spans="1:14" x14ac:dyDescent="0.3">
      <c r="A336">
        <v>2335</v>
      </c>
      <c r="B336" s="4">
        <v>45061</v>
      </c>
      <c r="C336">
        <v>2023</v>
      </c>
      <c r="D336" t="s">
        <v>20</v>
      </c>
      <c r="E336" t="s">
        <v>32</v>
      </c>
      <c r="F336" t="s">
        <v>58</v>
      </c>
      <c r="G336" t="s">
        <v>68</v>
      </c>
      <c r="H336">
        <v>1</v>
      </c>
      <c r="I336">
        <v>175.95</v>
      </c>
      <c r="J336">
        <v>175.95</v>
      </c>
      <c r="K336">
        <v>109.52</v>
      </c>
      <c r="L336">
        <v>66.430000000000007</v>
      </c>
      <c r="M336" t="s">
        <v>75</v>
      </c>
      <c r="N336" t="s">
        <v>79</v>
      </c>
    </row>
    <row r="337" spans="1:14" x14ac:dyDescent="0.3">
      <c r="A337">
        <v>2336</v>
      </c>
      <c r="B337" s="4">
        <v>45631</v>
      </c>
      <c r="C337">
        <v>2024</v>
      </c>
      <c r="D337" t="s">
        <v>18</v>
      </c>
      <c r="E337" t="s">
        <v>29</v>
      </c>
      <c r="F337" t="s">
        <v>47</v>
      </c>
      <c r="G337" t="s">
        <v>71</v>
      </c>
      <c r="H337">
        <v>20</v>
      </c>
      <c r="I337">
        <v>29.72</v>
      </c>
      <c r="J337">
        <v>594.4</v>
      </c>
      <c r="K337">
        <v>23.11</v>
      </c>
      <c r="L337">
        <v>132.19999999999999</v>
      </c>
      <c r="M337" t="s">
        <v>76</v>
      </c>
      <c r="N337" t="s">
        <v>79</v>
      </c>
    </row>
    <row r="338" spans="1:14" x14ac:dyDescent="0.3">
      <c r="A338">
        <v>2337</v>
      </c>
      <c r="B338" s="4">
        <v>45548</v>
      </c>
      <c r="C338">
        <v>2024</v>
      </c>
      <c r="D338" t="s">
        <v>15</v>
      </c>
      <c r="E338" t="s">
        <v>28</v>
      </c>
      <c r="F338" t="s">
        <v>44</v>
      </c>
      <c r="G338" t="s">
        <v>68</v>
      </c>
      <c r="H338">
        <v>10</v>
      </c>
      <c r="I338">
        <v>100.75</v>
      </c>
      <c r="J338">
        <v>1007.5</v>
      </c>
      <c r="K338">
        <v>87.49</v>
      </c>
      <c r="L338">
        <v>132.6</v>
      </c>
      <c r="M338" t="s">
        <v>75</v>
      </c>
      <c r="N338" t="s">
        <v>77</v>
      </c>
    </row>
    <row r="339" spans="1:14" x14ac:dyDescent="0.3">
      <c r="A339">
        <v>2338</v>
      </c>
      <c r="B339" s="4">
        <v>45448</v>
      </c>
      <c r="C339">
        <v>2024</v>
      </c>
      <c r="D339" t="s">
        <v>14</v>
      </c>
      <c r="E339" t="s">
        <v>24</v>
      </c>
      <c r="F339" t="s">
        <v>57</v>
      </c>
      <c r="G339" t="s">
        <v>73</v>
      </c>
      <c r="H339">
        <v>20</v>
      </c>
      <c r="I339">
        <v>110.23</v>
      </c>
      <c r="J339">
        <v>2204.6</v>
      </c>
      <c r="K339">
        <v>76.25</v>
      </c>
      <c r="L339">
        <v>679.6</v>
      </c>
      <c r="M339" t="s">
        <v>74</v>
      </c>
      <c r="N339" t="s">
        <v>77</v>
      </c>
    </row>
    <row r="340" spans="1:14" x14ac:dyDescent="0.3">
      <c r="A340">
        <v>2339</v>
      </c>
      <c r="B340" s="4">
        <v>45435</v>
      </c>
      <c r="C340">
        <v>2024</v>
      </c>
      <c r="D340" t="s">
        <v>19</v>
      </c>
      <c r="E340" t="s">
        <v>31</v>
      </c>
      <c r="F340" t="s">
        <v>53</v>
      </c>
      <c r="G340" t="s">
        <v>69</v>
      </c>
      <c r="H340">
        <v>13</v>
      </c>
      <c r="I340">
        <v>107.03</v>
      </c>
      <c r="J340">
        <v>1391.39</v>
      </c>
      <c r="K340">
        <v>83.86</v>
      </c>
      <c r="L340">
        <v>301.20999999999998</v>
      </c>
      <c r="M340" t="s">
        <v>76</v>
      </c>
      <c r="N340" t="s">
        <v>77</v>
      </c>
    </row>
    <row r="341" spans="1:14" x14ac:dyDescent="0.3">
      <c r="A341">
        <v>2340</v>
      </c>
      <c r="B341" s="4">
        <v>45537</v>
      </c>
      <c r="C341">
        <v>2024</v>
      </c>
      <c r="D341" t="s">
        <v>19</v>
      </c>
      <c r="E341" t="s">
        <v>39</v>
      </c>
      <c r="F341" t="s">
        <v>63</v>
      </c>
      <c r="G341" t="s">
        <v>70</v>
      </c>
      <c r="H341">
        <v>5</v>
      </c>
      <c r="I341">
        <v>47.52</v>
      </c>
      <c r="J341">
        <v>237.6</v>
      </c>
      <c r="K341">
        <v>37.270000000000003</v>
      </c>
      <c r="L341">
        <v>51.25</v>
      </c>
      <c r="M341" t="s">
        <v>75</v>
      </c>
      <c r="N341" t="s">
        <v>79</v>
      </c>
    </row>
    <row r="342" spans="1:14" x14ac:dyDescent="0.3">
      <c r="A342">
        <v>2341</v>
      </c>
      <c r="B342" s="4">
        <v>45109</v>
      </c>
      <c r="C342">
        <v>2023</v>
      </c>
      <c r="D342" t="s">
        <v>21</v>
      </c>
      <c r="E342" t="s">
        <v>41</v>
      </c>
      <c r="F342" t="s">
        <v>51</v>
      </c>
      <c r="G342" t="s">
        <v>69</v>
      </c>
      <c r="H342">
        <v>3</v>
      </c>
      <c r="I342">
        <v>107.1</v>
      </c>
      <c r="J342">
        <v>321.3</v>
      </c>
      <c r="K342">
        <v>96.22</v>
      </c>
      <c r="L342">
        <v>32.64</v>
      </c>
      <c r="M342" t="s">
        <v>75</v>
      </c>
      <c r="N342" t="s">
        <v>77</v>
      </c>
    </row>
    <row r="343" spans="1:14" x14ac:dyDescent="0.3">
      <c r="A343">
        <v>2342</v>
      </c>
      <c r="B343" s="4">
        <v>45265</v>
      </c>
      <c r="C343">
        <v>2023</v>
      </c>
      <c r="D343" t="s">
        <v>21</v>
      </c>
      <c r="E343" t="s">
        <v>33</v>
      </c>
      <c r="F343" t="s">
        <v>51</v>
      </c>
      <c r="G343" t="s">
        <v>69</v>
      </c>
      <c r="H343">
        <v>6</v>
      </c>
      <c r="I343">
        <v>39.4</v>
      </c>
      <c r="J343">
        <v>236.4</v>
      </c>
      <c r="K343">
        <v>29.03</v>
      </c>
      <c r="L343">
        <v>62.22</v>
      </c>
      <c r="M343" t="s">
        <v>74</v>
      </c>
      <c r="N343" t="s">
        <v>77</v>
      </c>
    </row>
    <row r="344" spans="1:14" x14ac:dyDescent="0.3">
      <c r="A344">
        <v>2343</v>
      </c>
      <c r="B344" s="4">
        <v>44607</v>
      </c>
      <c r="C344">
        <v>2022</v>
      </c>
      <c r="D344" t="s">
        <v>17</v>
      </c>
      <c r="E344" t="s">
        <v>27</v>
      </c>
      <c r="F344" t="s">
        <v>64</v>
      </c>
      <c r="G344" t="s">
        <v>70</v>
      </c>
      <c r="H344">
        <v>11</v>
      </c>
      <c r="I344">
        <v>56.12</v>
      </c>
      <c r="J344">
        <v>617.32000000000005</v>
      </c>
      <c r="K344">
        <v>43.08</v>
      </c>
      <c r="L344">
        <v>143.44</v>
      </c>
      <c r="M344" t="s">
        <v>76</v>
      </c>
      <c r="N344" t="s">
        <v>78</v>
      </c>
    </row>
    <row r="345" spans="1:14" x14ac:dyDescent="0.3">
      <c r="A345">
        <v>2344</v>
      </c>
      <c r="B345" s="4">
        <v>44917</v>
      </c>
      <c r="C345">
        <v>2022</v>
      </c>
      <c r="D345" t="s">
        <v>21</v>
      </c>
      <c r="E345" t="s">
        <v>33</v>
      </c>
      <c r="F345" t="s">
        <v>48</v>
      </c>
      <c r="G345" t="s">
        <v>68</v>
      </c>
      <c r="H345">
        <v>4</v>
      </c>
      <c r="I345">
        <v>145.16</v>
      </c>
      <c r="J345">
        <v>580.64</v>
      </c>
      <c r="K345">
        <v>127.86</v>
      </c>
      <c r="L345">
        <v>69.2</v>
      </c>
      <c r="M345" t="s">
        <v>76</v>
      </c>
      <c r="N345" t="s">
        <v>77</v>
      </c>
    </row>
    <row r="346" spans="1:14" x14ac:dyDescent="0.3">
      <c r="A346">
        <v>2345</v>
      </c>
      <c r="B346" s="4">
        <v>45274</v>
      </c>
      <c r="C346">
        <v>2023</v>
      </c>
      <c r="D346" t="s">
        <v>18</v>
      </c>
      <c r="E346" t="s">
        <v>29</v>
      </c>
      <c r="F346" t="s">
        <v>54</v>
      </c>
      <c r="G346" t="s">
        <v>72</v>
      </c>
      <c r="H346">
        <v>16</v>
      </c>
      <c r="I346">
        <v>63.83</v>
      </c>
      <c r="J346">
        <v>1021.28</v>
      </c>
      <c r="K346">
        <v>45.35</v>
      </c>
      <c r="L346">
        <v>295.68</v>
      </c>
      <c r="M346" t="s">
        <v>75</v>
      </c>
      <c r="N346" t="s">
        <v>80</v>
      </c>
    </row>
    <row r="347" spans="1:14" x14ac:dyDescent="0.3">
      <c r="A347">
        <v>2346</v>
      </c>
      <c r="B347" s="4">
        <v>45191</v>
      </c>
      <c r="C347">
        <v>2023</v>
      </c>
      <c r="D347" t="s">
        <v>14</v>
      </c>
      <c r="E347" t="s">
        <v>30</v>
      </c>
      <c r="F347" t="s">
        <v>57</v>
      </c>
      <c r="G347" t="s">
        <v>73</v>
      </c>
      <c r="H347">
        <v>3</v>
      </c>
      <c r="I347">
        <v>132.5</v>
      </c>
      <c r="J347">
        <v>397.5</v>
      </c>
      <c r="K347">
        <v>114.09</v>
      </c>
      <c r="L347">
        <v>55.23</v>
      </c>
      <c r="M347" t="s">
        <v>75</v>
      </c>
      <c r="N347" t="s">
        <v>78</v>
      </c>
    </row>
    <row r="348" spans="1:14" x14ac:dyDescent="0.3">
      <c r="A348">
        <v>2347</v>
      </c>
      <c r="B348" s="4">
        <v>44580</v>
      </c>
      <c r="C348">
        <v>2022</v>
      </c>
      <c r="D348" t="s">
        <v>15</v>
      </c>
      <c r="E348" t="s">
        <v>28</v>
      </c>
      <c r="F348" t="s">
        <v>59</v>
      </c>
      <c r="G348" t="s">
        <v>69</v>
      </c>
      <c r="H348">
        <v>19</v>
      </c>
      <c r="I348">
        <v>195.51</v>
      </c>
      <c r="J348">
        <v>3714.69</v>
      </c>
      <c r="K348">
        <v>133.09</v>
      </c>
      <c r="L348">
        <v>1185.98</v>
      </c>
      <c r="M348" t="s">
        <v>76</v>
      </c>
      <c r="N348" t="s">
        <v>77</v>
      </c>
    </row>
    <row r="349" spans="1:14" x14ac:dyDescent="0.3">
      <c r="A349">
        <v>2348</v>
      </c>
      <c r="B349" s="4">
        <v>44764</v>
      </c>
      <c r="C349">
        <v>2022</v>
      </c>
      <c r="D349" t="s">
        <v>22</v>
      </c>
      <c r="E349" t="s">
        <v>36</v>
      </c>
      <c r="F349" t="s">
        <v>44</v>
      </c>
      <c r="G349" t="s">
        <v>68</v>
      </c>
      <c r="H349">
        <v>16</v>
      </c>
      <c r="I349">
        <v>145.44999999999999</v>
      </c>
      <c r="J349">
        <v>2327.1999999999998</v>
      </c>
      <c r="K349">
        <v>103.22</v>
      </c>
      <c r="L349">
        <v>675.68</v>
      </c>
      <c r="M349" t="s">
        <v>74</v>
      </c>
      <c r="N349" t="s">
        <v>78</v>
      </c>
    </row>
    <row r="350" spans="1:14" x14ac:dyDescent="0.3">
      <c r="A350">
        <v>2349</v>
      </c>
      <c r="B350" s="4">
        <v>45458</v>
      </c>
      <c r="C350">
        <v>2024</v>
      </c>
      <c r="D350" t="s">
        <v>14</v>
      </c>
      <c r="E350" t="s">
        <v>30</v>
      </c>
      <c r="F350" t="s">
        <v>60</v>
      </c>
      <c r="G350" t="s">
        <v>73</v>
      </c>
      <c r="H350">
        <v>7</v>
      </c>
      <c r="I350">
        <v>89.59</v>
      </c>
      <c r="J350">
        <v>627.13</v>
      </c>
      <c r="K350">
        <v>71.45</v>
      </c>
      <c r="L350">
        <v>126.98</v>
      </c>
      <c r="M350" t="s">
        <v>74</v>
      </c>
      <c r="N350" t="s">
        <v>79</v>
      </c>
    </row>
    <row r="351" spans="1:14" x14ac:dyDescent="0.3">
      <c r="A351">
        <v>2350</v>
      </c>
      <c r="B351" s="4">
        <v>44919</v>
      </c>
      <c r="C351">
        <v>2022</v>
      </c>
      <c r="D351" t="s">
        <v>23</v>
      </c>
      <c r="E351" t="s">
        <v>37</v>
      </c>
      <c r="F351" t="s">
        <v>53</v>
      </c>
      <c r="G351" t="s">
        <v>69</v>
      </c>
      <c r="H351">
        <v>3</v>
      </c>
      <c r="I351">
        <v>36.86</v>
      </c>
      <c r="J351">
        <v>110.58</v>
      </c>
      <c r="K351">
        <v>32.82</v>
      </c>
      <c r="L351">
        <v>12.12</v>
      </c>
      <c r="M351" t="s">
        <v>75</v>
      </c>
      <c r="N351" t="s">
        <v>78</v>
      </c>
    </row>
    <row r="352" spans="1:14" x14ac:dyDescent="0.3">
      <c r="A352">
        <v>2351</v>
      </c>
      <c r="B352" s="4">
        <v>44912</v>
      </c>
      <c r="C352">
        <v>2022</v>
      </c>
      <c r="D352" t="s">
        <v>22</v>
      </c>
      <c r="E352" t="s">
        <v>36</v>
      </c>
      <c r="F352" t="s">
        <v>45</v>
      </c>
      <c r="G352" t="s">
        <v>69</v>
      </c>
      <c r="H352">
        <v>5</v>
      </c>
      <c r="I352">
        <v>174.21</v>
      </c>
      <c r="J352">
        <v>871.05</v>
      </c>
      <c r="K352">
        <v>126.54</v>
      </c>
      <c r="L352">
        <v>238.35</v>
      </c>
      <c r="M352" t="s">
        <v>76</v>
      </c>
      <c r="N352" t="s">
        <v>80</v>
      </c>
    </row>
    <row r="353" spans="1:14" x14ac:dyDescent="0.3">
      <c r="A353">
        <v>2352</v>
      </c>
      <c r="B353" s="4">
        <v>44806</v>
      </c>
      <c r="C353">
        <v>2022</v>
      </c>
      <c r="D353" t="s">
        <v>18</v>
      </c>
      <c r="E353" t="s">
        <v>29</v>
      </c>
      <c r="F353" t="s">
        <v>67</v>
      </c>
      <c r="G353" t="s">
        <v>71</v>
      </c>
      <c r="H353">
        <v>4</v>
      </c>
      <c r="I353">
        <v>155.18</v>
      </c>
      <c r="J353">
        <v>620.72</v>
      </c>
      <c r="K353">
        <v>128.76</v>
      </c>
      <c r="L353">
        <v>105.68</v>
      </c>
      <c r="M353" t="s">
        <v>76</v>
      </c>
      <c r="N353" t="s">
        <v>79</v>
      </c>
    </row>
    <row r="354" spans="1:14" x14ac:dyDescent="0.3">
      <c r="A354">
        <v>2353</v>
      </c>
      <c r="B354" s="4">
        <v>44654</v>
      </c>
      <c r="C354">
        <v>2022</v>
      </c>
      <c r="D354" t="s">
        <v>19</v>
      </c>
      <c r="E354" t="s">
        <v>42</v>
      </c>
      <c r="F354" t="s">
        <v>44</v>
      </c>
      <c r="G354" t="s">
        <v>68</v>
      </c>
      <c r="H354">
        <v>2</v>
      </c>
      <c r="I354">
        <v>62.32</v>
      </c>
      <c r="J354">
        <v>124.64</v>
      </c>
      <c r="K354">
        <v>46.08</v>
      </c>
      <c r="L354">
        <v>32.479999999999997</v>
      </c>
      <c r="M354" t="s">
        <v>76</v>
      </c>
      <c r="N354" t="s">
        <v>79</v>
      </c>
    </row>
    <row r="355" spans="1:14" x14ac:dyDescent="0.3">
      <c r="A355">
        <v>2354</v>
      </c>
      <c r="B355" s="4">
        <v>45592</v>
      </c>
      <c r="C355">
        <v>2024</v>
      </c>
      <c r="D355" t="s">
        <v>15</v>
      </c>
      <c r="E355" t="s">
        <v>28</v>
      </c>
      <c r="F355" t="s">
        <v>59</v>
      </c>
      <c r="G355" t="s">
        <v>69</v>
      </c>
      <c r="H355">
        <v>15</v>
      </c>
      <c r="I355">
        <v>118.61</v>
      </c>
      <c r="J355">
        <v>1779.15</v>
      </c>
      <c r="K355">
        <v>105.5</v>
      </c>
      <c r="L355">
        <v>196.65</v>
      </c>
      <c r="M355" t="s">
        <v>75</v>
      </c>
      <c r="N355" t="s">
        <v>77</v>
      </c>
    </row>
    <row r="356" spans="1:14" x14ac:dyDescent="0.3">
      <c r="A356">
        <v>2355</v>
      </c>
      <c r="B356" s="4">
        <v>45648</v>
      </c>
      <c r="C356">
        <v>2024</v>
      </c>
      <c r="D356" t="s">
        <v>19</v>
      </c>
      <c r="E356" t="s">
        <v>31</v>
      </c>
      <c r="F356" t="s">
        <v>45</v>
      </c>
      <c r="G356" t="s">
        <v>69</v>
      </c>
      <c r="H356">
        <v>13</v>
      </c>
      <c r="I356">
        <v>102.42</v>
      </c>
      <c r="J356">
        <v>1331.46</v>
      </c>
      <c r="K356">
        <v>76.680000000000007</v>
      </c>
      <c r="L356">
        <v>334.62</v>
      </c>
      <c r="M356" t="s">
        <v>74</v>
      </c>
      <c r="N356" t="s">
        <v>78</v>
      </c>
    </row>
    <row r="357" spans="1:14" x14ac:dyDescent="0.3">
      <c r="A357">
        <v>2356</v>
      </c>
      <c r="B357" s="4">
        <v>44593</v>
      </c>
      <c r="C357">
        <v>2022</v>
      </c>
      <c r="D357" t="s">
        <v>23</v>
      </c>
      <c r="E357" t="s">
        <v>43</v>
      </c>
      <c r="F357" t="s">
        <v>54</v>
      </c>
      <c r="G357" t="s">
        <v>72</v>
      </c>
      <c r="H357">
        <v>7</v>
      </c>
      <c r="I357">
        <v>29.46</v>
      </c>
      <c r="J357">
        <v>206.22</v>
      </c>
      <c r="K357">
        <v>17.989999999999998</v>
      </c>
      <c r="L357">
        <v>80.290000000000006</v>
      </c>
      <c r="M357" t="s">
        <v>75</v>
      </c>
      <c r="N357" t="s">
        <v>79</v>
      </c>
    </row>
    <row r="358" spans="1:14" x14ac:dyDescent="0.3">
      <c r="A358">
        <v>2357</v>
      </c>
      <c r="B358" s="4">
        <v>45182</v>
      </c>
      <c r="C358">
        <v>2023</v>
      </c>
      <c r="D358" t="s">
        <v>14</v>
      </c>
      <c r="E358" t="s">
        <v>24</v>
      </c>
      <c r="F358" t="s">
        <v>60</v>
      </c>
      <c r="G358" t="s">
        <v>73</v>
      </c>
      <c r="H358">
        <v>13</v>
      </c>
      <c r="I358">
        <v>138.96</v>
      </c>
      <c r="J358">
        <v>1806.48</v>
      </c>
      <c r="K358">
        <v>110.56</v>
      </c>
      <c r="L358">
        <v>369.2</v>
      </c>
      <c r="M358" t="s">
        <v>74</v>
      </c>
      <c r="N358" t="s">
        <v>80</v>
      </c>
    </row>
    <row r="359" spans="1:14" x14ac:dyDescent="0.3">
      <c r="A359">
        <v>2358</v>
      </c>
      <c r="B359" s="4">
        <v>45326</v>
      </c>
      <c r="C359">
        <v>2024</v>
      </c>
      <c r="D359" t="s">
        <v>22</v>
      </c>
      <c r="E359" t="s">
        <v>36</v>
      </c>
      <c r="F359" t="s">
        <v>55</v>
      </c>
      <c r="G359" t="s">
        <v>71</v>
      </c>
      <c r="H359">
        <v>11</v>
      </c>
      <c r="I359">
        <v>150.91</v>
      </c>
      <c r="J359">
        <v>1660.01</v>
      </c>
      <c r="K359">
        <v>134.85</v>
      </c>
      <c r="L359">
        <v>176.66</v>
      </c>
      <c r="M359" t="s">
        <v>74</v>
      </c>
      <c r="N359" t="s">
        <v>79</v>
      </c>
    </row>
    <row r="360" spans="1:14" x14ac:dyDescent="0.3">
      <c r="A360">
        <v>2359</v>
      </c>
      <c r="B360" s="4">
        <v>44617</v>
      </c>
      <c r="C360">
        <v>2022</v>
      </c>
      <c r="D360" t="s">
        <v>18</v>
      </c>
      <c r="E360" t="s">
        <v>29</v>
      </c>
      <c r="F360" t="s">
        <v>46</v>
      </c>
      <c r="G360" t="s">
        <v>70</v>
      </c>
      <c r="H360">
        <v>3</v>
      </c>
      <c r="I360">
        <v>155.94</v>
      </c>
      <c r="J360">
        <v>467.82</v>
      </c>
      <c r="K360">
        <v>132.51</v>
      </c>
      <c r="L360">
        <v>70.290000000000006</v>
      </c>
      <c r="M360" t="s">
        <v>74</v>
      </c>
      <c r="N360" t="s">
        <v>80</v>
      </c>
    </row>
    <row r="361" spans="1:14" x14ac:dyDescent="0.3">
      <c r="A361">
        <v>2360</v>
      </c>
      <c r="B361" s="4">
        <v>44670</v>
      </c>
      <c r="C361">
        <v>2022</v>
      </c>
      <c r="D361" t="s">
        <v>15</v>
      </c>
      <c r="E361" t="s">
        <v>25</v>
      </c>
      <c r="F361" t="s">
        <v>57</v>
      </c>
      <c r="G361" t="s">
        <v>73</v>
      </c>
      <c r="H361">
        <v>20</v>
      </c>
      <c r="I361">
        <v>27.34</v>
      </c>
      <c r="J361">
        <v>546.79999999999995</v>
      </c>
      <c r="K361">
        <v>20.64</v>
      </c>
      <c r="L361">
        <v>134</v>
      </c>
      <c r="M361" t="s">
        <v>74</v>
      </c>
      <c r="N361" t="s">
        <v>78</v>
      </c>
    </row>
    <row r="362" spans="1:14" x14ac:dyDescent="0.3">
      <c r="A362">
        <v>2361</v>
      </c>
      <c r="B362" s="4">
        <v>45047</v>
      </c>
      <c r="C362">
        <v>2023</v>
      </c>
      <c r="D362" t="s">
        <v>15</v>
      </c>
      <c r="E362" t="s">
        <v>25</v>
      </c>
      <c r="F362" t="s">
        <v>56</v>
      </c>
      <c r="G362" t="s">
        <v>70</v>
      </c>
      <c r="H362">
        <v>15</v>
      </c>
      <c r="I362">
        <v>92.15</v>
      </c>
      <c r="J362">
        <v>1382.25</v>
      </c>
      <c r="K362">
        <v>61.97</v>
      </c>
      <c r="L362">
        <v>452.7</v>
      </c>
      <c r="M362" t="s">
        <v>76</v>
      </c>
      <c r="N362" t="s">
        <v>80</v>
      </c>
    </row>
    <row r="363" spans="1:14" x14ac:dyDescent="0.3">
      <c r="A363">
        <v>2362</v>
      </c>
      <c r="B363" s="4">
        <v>45476</v>
      </c>
      <c r="C363">
        <v>2024</v>
      </c>
      <c r="D363" t="s">
        <v>17</v>
      </c>
      <c r="E363" t="s">
        <v>34</v>
      </c>
      <c r="F363" t="s">
        <v>56</v>
      </c>
      <c r="G363" t="s">
        <v>70</v>
      </c>
      <c r="H363">
        <v>17</v>
      </c>
      <c r="I363">
        <v>129.82</v>
      </c>
      <c r="J363">
        <v>2206.94</v>
      </c>
      <c r="K363">
        <v>103.03</v>
      </c>
      <c r="L363">
        <v>455.43</v>
      </c>
      <c r="M363" t="s">
        <v>75</v>
      </c>
      <c r="N363" t="s">
        <v>77</v>
      </c>
    </row>
    <row r="364" spans="1:14" x14ac:dyDescent="0.3">
      <c r="A364">
        <v>2363</v>
      </c>
      <c r="B364" s="4">
        <v>45420</v>
      </c>
      <c r="C364">
        <v>2024</v>
      </c>
      <c r="D364" t="s">
        <v>19</v>
      </c>
      <c r="E364" t="s">
        <v>39</v>
      </c>
      <c r="F364" t="s">
        <v>63</v>
      </c>
      <c r="G364" t="s">
        <v>70</v>
      </c>
      <c r="H364">
        <v>7</v>
      </c>
      <c r="I364">
        <v>129.85</v>
      </c>
      <c r="J364">
        <v>908.95</v>
      </c>
      <c r="K364">
        <v>112.33</v>
      </c>
      <c r="L364">
        <v>122.64</v>
      </c>
      <c r="M364" t="s">
        <v>75</v>
      </c>
      <c r="N364" t="s">
        <v>78</v>
      </c>
    </row>
    <row r="365" spans="1:14" x14ac:dyDescent="0.3">
      <c r="A365">
        <v>2364</v>
      </c>
      <c r="B365" s="4">
        <v>44652</v>
      </c>
      <c r="C365">
        <v>2022</v>
      </c>
      <c r="D365" t="s">
        <v>15</v>
      </c>
      <c r="E365" t="s">
        <v>28</v>
      </c>
      <c r="F365" t="s">
        <v>47</v>
      </c>
      <c r="G365" t="s">
        <v>71</v>
      </c>
      <c r="H365">
        <v>11</v>
      </c>
      <c r="I365">
        <v>99.79</v>
      </c>
      <c r="J365">
        <v>1097.69</v>
      </c>
      <c r="K365">
        <v>74.44</v>
      </c>
      <c r="L365">
        <v>278.85000000000002</v>
      </c>
      <c r="M365" t="s">
        <v>75</v>
      </c>
      <c r="N365" t="s">
        <v>79</v>
      </c>
    </row>
    <row r="366" spans="1:14" x14ac:dyDescent="0.3">
      <c r="A366">
        <v>2365</v>
      </c>
      <c r="B366" s="4">
        <v>45457</v>
      </c>
      <c r="C366">
        <v>2024</v>
      </c>
      <c r="D366" t="s">
        <v>19</v>
      </c>
      <c r="E366" t="s">
        <v>42</v>
      </c>
      <c r="F366" t="s">
        <v>45</v>
      </c>
      <c r="G366" t="s">
        <v>69</v>
      </c>
      <c r="H366">
        <v>12</v>
      </c>
      <c r="I366">
        <v>99.19</v>
      </c>
      <c r="J366">
        <v>1190.28</v>
      </c>
      <c r="K366">
        <v>81.27</v>
      </c>
      <c r="L366">
        <v>215.04</v>
      </c>
      <c r="M366" t="s">
        <v>74</v>
      </c>
      <c r="N366" t="s">
        <v>80</v>
      </c>
    </row>
    <row r="367" spans="1:14" x14ac:dyDescent="0.3">
      <c r="A367">
        <v>2366</v>
      </c>
      <c r="B367" s="4">
        <v>45223</v>
      </c>
      <c r="C367">
        <v>2023</v>
      </c>
      <c r="D367" t="s">
        <v>15</v>
      </c>
      <c r="E367" t="s">
        <v>28</v>
      </c>
      <c r="F367" t="s">
        <v>47</v>
      </c>
      <c r="G367" t="s">
        <v>71</v>
      </c>
      <c r="H367">
        <v>17</v>
      </c>
      <c r="I367">
        <v>82.8</v>
      </c>
      <c r="J367">
        <v>1407.6</v>
      </c>
      <c r="K367">
        <v>67.099999999999994</v>
      </c>
      <c r="L367">
        <v>266.89999999999998</v>
      </c>
      <c r="M367" t="s">
        <v>75</v>
      </c>
      <c r="N367" t="s">
        <v>79</v>
      </c>
    </row>
    <row r="368" spans="1:14" x14ac:dyDescent="0.3">
      <c r="A368">
        <v>2367</v>
      </c>
      <c r="B368" s="4">
        <v>44799</v>
      </c>
      <c r="C368">
        <v>2022</v>
      </c>
      <c r="D368" t="s">
        <v>20</v>
      </c>
      <c r="E368" t="s">
        <v>32</v>
      </c>
      <c r="F368" t="s">
        <v>66</v>
      </c>
      <c r="G368" t="s">
        <v>72</v>
      </c>
      <c r="H368">
        <v>4</v>
      </c>
      <c r="I368">
        <v>71.83</v>
      </c>
      <c r="J368">
        <v>287.32</v>
      </c>
      <c r="K368">
        <v>62.86</v>
      </c>
      <c r="L368">
        <v>35.880000000000003</v>
      </c>
      <c r="M368" t="s">
        <v>74</v>
      </c>
      <c r="N368" t="s">
        <v>77</v>
      </c>
    </row>
    <row r="369" spans="1:14" x14ac:dyDescent="0.3">
      <c r="A369">
        <v>2368</v>
      </c>
      <c r="B369" s="4">
        <v>45307</v>
      </c>
      <c r="C369">
        <v>2024</v>
      </c>
      <c r="D369" t="s">
        <v>14</v>
      </c>
      <c r="E369" t="s">
        <v>30</v>
      </c>
      <c r="F369" t="s">
        <v>63</v>
      </c>
      <c r="G369" t="s">
        <v>70</v>
      </c>
      <c r="H369">
        <v>8</v>
      </c>
      <c r="I369">
        <v>115.88</v>
      </c>
      <c r="J369">
        <v>927.04</v>
      </c>
      <c r="K369">
        <v>94.14</v>
      </c>
      <c r="L369">
        <v>173.92</v>
      </c>
      <c r="M369" t="s">
        <v>76</v>
      </c>
      <c r="N369" t="s">
        <v>77</v>
      </c>
    </row>
    <row r="370" spans="1:14" x14ac:dyDescent="0.3">
      <c r="A370">
        <v>2369</v>
      </c>
      <c r="B370" s="4">
        <v>44931</v>
      </c>
      <c r="C370">
        <v>2023</v>
      </c>
      <c r="D370" t="s">
        <v>20</v>
      </c>
      <c r="E370" t="s">
        <v>32</v>
      </c>
      <c r="F370" t="s">
        <v>50</v>
      </c>
      <c r="G370" t="s">
        <v>73</v>
      </c>
      <c r="H370">
        <v>3</v>
      </c>
      <c r="I370">
        <v>166.51</v>
      </c>
      <c r="J370">
        <v>499.53</v>
      </c>
      <c r="K370">
        <v>147.35</v>
      </c>
      <c r="L370">
        <v>57.48</v>
      </c>
      <c r="M370" t="s">
        <v>76</v>
      </c>
      <c r="N370" t="s">
        <v>79</v>
      </c>
    </row>
    <row r="371" spans="1:14" x14ac:dyDescent="0.3">
      <c r="A371">
        <v>2370</v>
      </c>
      <c r="B371" s="4">
        <v>45274</v>
      </c>
      <c r="C371">
        <v>2023</v>
      </c>
      <c r="D371" t="s">
        <v>18</v>
      </c>
      <c r="E371" t="s">
        <v>29</v>
      </c>
      <c r="F371" t="s">
        <v>65</v>
      </c>
      <c r="G371" t="s">
        <v>73</v>
      </c>
      <c r="H371">
        <v>10</v>
      </c>
      <c r="I371">
        <v>63.7</v>
      </c>
      <c r="J371">
        <v>637</v>
      </c>
      <c r="K371">
        <v>50.24</v>
      </c>
      <c r="L371">
        <v>134.6</v>
      </c>
      <c r="M371" t="s">
        <v>76</v>
      </c>
      <c r="N371" t="s">
        <v>78</v>
      </c>
    </row>
    <row r="372" spans="1:14" x14ac:dyDescent="0.3">
      <c r="A372">
        <v>2371</v>
      </c>
      <c r="B372" s="4">
        <v>45374</v>
      </c>
      <c r="C372">
        <v>2024</v>
      </c>
      <c r="D372" t="s">
        <v>14</v>
      </c>
      <c r="E372" t="s">
        <v>24</v>
      </c>
      <c r="F372" t="s">
        <v>46</v>
      </c>
      <c r="G372" t="s">
        <v>70</v>
      </c>
      <c r="H372">
        <v>2</v>
      </c>
      <c r="I372">
        <v>149.16</v>
      </c>
      <c r="J372">
        <v>298.32</v>
      </c>
      <c r="K372">
        <v>117.46</v>
      </c>
      <c r="L372">
        <v>63.4</v>
      </c>
      <c r="M372" t="s">
        <v>76</v>
      </c>
      <c r="N372" t="s">
        <v>77</v>
      </c>
    </row>
    <row r="373" spans="1:14" x14ac:dyDescent="0.3">
      <c r="A373">
        <v>2372</v>
      </c>
      <c r="B373" s="4">
        <v>45164</v>
      </c>
      <c r="C373">
        <v>2023</v>
      </c>
      <c r="D373" t="s">
        <v>15</v>
      </c>
      <c r="E373" t="s">
        <v>25</v>
      </c>
      <c r="F373" t="s">
        <v>47</v>
      </c>
      <c r="G373" t="s">
        <v>71</v>
      </c>
      <c r="H373">
        <v>18</v>
      </c>
      <c r="I373">
        <v>84.02</v>
      </c>
      <c r="J373">
        <v>1512.36</v>
      </c>
      <c r="K373">
        <v>74.290000000000006</v>
      </c>
      <c r="L373">
        <v>175.14</v>
      </c>
      <c r="M373" t="s">
        <v>74</v>
      </c>
      <c r="N373" t="s">
        <v>79</v>
      </c>
    </row>
    <row r="374" spans="1:14" x14ac:dyDescent="0.3">
      <c r="A374">
        <v>2373</v>
      </c>
      <c r="B374" s="4">
        <v>44778</v>
      </c>
      <c r="C374">
        <v>2022</v>
      </c>
      <c r="D374" t="s">
        <v>21</v>
      </c>
      <c r="E374" t="s">
        <v>33</v>
      </c>
      <c r="F374" t="s">
        <v>61</v>
      </c>
      <c r="G374" t="s">
        <v>68</v>
      </c>
      <c r="H374">
        <v>20</v>
      </c>
      <c r="I374">
        <v>187.19</v>
      </c>
      <c r="J374">
        <v>3743.8</v>
      </c>
      <c r="K374">
        <v>132.82</v>
      </c>
      <c r="L374">
        <v>1087.4000000000001</v>
      </c>
      <c r="M374" t="s">
        <v>75</v>
      </c>
      <c r="N374" t="s">
        <v>78</v>
      </c>
    </row>
    <row r="375" spans="1:14" x14ac:dyDescent="0.3">
      <c r="A375">
        <v>2374</v>
      </c>
      <c r="B375" s="4">
        <v>45173</v>
      </c>
      <c r="C375">
        <v>2023</v>
      </c>
      <c r="D375" t="s">
        <v>16</v>
      </c>
      <c r="E375" t="s">
        <v>35</v>
      </c>
      <c r="F375" t="s">
        <v>52</v>
      </c>
      <c r="G375" t="s">
        <v>71</v>
      </c>
      <c r="H375">
        <v>4</v>
      </c>
      <c r="I375">
        <v>153.41999999999999</v>
      </c>
      <c r="J375">
        <v>613.67999999999995</v>
      </c>
      <c r="K375">
        <v>134.22</v>
      </c>
      <c r="L375">
        <v>76.8</v>
      </c>
      <c r="M375" t="s">
        <v>75</v>
      </c>
      <c r="N375" t="s">
        <v>80</v>
      </c>
    </row>
    <row r="376" spans="1:14" x14ac:dyDescent="0.3">
      <c r="A376">
        <v>2375</v>
      </c>
      <c r="B376" s="4">
        <v>44788</v>
      </c>
      <c r="C376">
        <v>2022</v>
      </c>
      <c r="D376" t="s">
        <v>16</v>
      </c>
      <c r="E376" t="s">
        <v>35</v>
      </c>
      <c r="F376" t="s">
        <v>45</v>
      </c>
      <c r="G376" t="s">
        <v>69</v>
      </c>
      <c r="H376">
        <v>20</v>
      </c>
      <c r="I376">
        <v>53.58</v>
      </c>
      <c r="J376">
        <v>1071.5999999999999</v>
      </c>
      <c r="K376">
        <v>47.26</v>
      </c>
      <c r="L376">
        <v>126.4</v>
      </c>
      <c r="M376" t="s">
        <v>76</v>
      </c>
      <c r="N376" t="s">
        <v>78</v>
      </c>
    </row>
    <row r="377" spans="1:14" x14ac:dyDescent="0.3">
      <c r="A377">
        <v>2376</v>
      </c>
      <c r="B377" s="4">
        <v>44832</v>
      </c>
      <c r="C377">
        <v>2022</v>
      </c>
      <c r="D377" t="s">
        <v>18</v>
      </c>
      <c r="E377" t="s">
        <v>29</v>
      </c>
      <c r="F377" t="s">
        <v>49</v>
      </c>
      <c r="G377" t="s">
        <v>72</v>
      </c>
      <c r="H377">
        <v>20</v>
      </c>
      <c r="I377">
        <v>197.78</v>
      </c>
      <c r="J377">
        <v>3955.6</v>
      </c>
      <c r="K377">
        <v>175.56</v>
      </c>
      <c r="L377">
        <v>444.4</v>
      </c>
      <c r="M377" t="s">
        <v>76</v>
      </c>
      <c r="N377" t="s">
        <v>77</v>
      </c>
    </row>
    <row r="378" spans="1:14" x14ac:dyDescent="0.3">
      <c r="A378">
        <v>2377</v>
      </c>
      <c r="B378" s="4">
        <v>45340</v>
      </c>
      <c r="C378">
        <v>2024</v>
      </c>
      <c r="D378" t="s">
        <v>16</v>
      </c>
      <c r="E378" t="s">
        <v>26</v>
      </c>
      <c r="F378" t="s">
        <v>52</v>
      </c>
      <c r="G378" t="s">
        <v>71</v>
      </c>
      <c r="H378">
        <v>14</v>
      </c>
      <c r="I378">
        <v>93.44</v>
      </c>
      <c r="J378">
        <v>1308.1600000000001</v>
      </c>
      <c r="K378">
        <v>72.81</v>
      </c>
      <c r="L378">
        <v>288.82</v>
      </c>
      <c r="M378" t="s">
        <v>75</v>
      </c>
      <c r="N378" t="s">
        <v>78</v>
      </c>
    </row>
    <row r="379" spans="1:14" x14ac:dyDescent="0.3">
      <c r="A379">
        <v>2378</v>
      </c>
      <c r="B379" s="4">
        <v>44783</v>
      </c>
      <c r="C379">
        <v>2022</v>
      </c>
      <c r="D379" t="s">
        <v>16</v>
      </c>
      <c r="E379" t="s">
        <v>35</v>
      </c>
      <c r="F379" t="s">
        <v>45</v>
      </c>
      <c r="G379" t="s">
        <v>69</v>
      </c>
      <c r="H379">
        <v>18</v>
      </c>
      <c r="I379">
        <v>64.86</v>
      </c>
      <c r="J379">
        <v>1167.48</v>
      </c>
      <c r="K379">
        <v>42.17</v>
      </c>
      <c r="L379">
        <v>408.42</v>
      </c>
      <c r="M379" t="s">
        <v>76</v>
      </c>
      <c r="N379" t="s">
        <v>80</v>
      </c>
    </row>
    <row r="380" spans="1:14" x14ac:dyDescent="0.3">
      <c r="A380">
        <v>2379</v>
      </c>
      <c r="B380" s="4">
        <v>45194</v>
      </c>
      <c r="C380">
        <v>2023</v>
      </c>
      <c r="D380" t="s">
        <v>15</v>
      </c>
      <c r="E380" t="s">
        <v>28</v>
      </c>
      <c r="F380" t="s">
        <v>52</v>
      </c>
      <c r="G380" t="s">
        <v>71</v>
      </c>
      <c r="H380">
        <v>19</v>
      </c>
      <c r="I380">
        <v>98.22</v>
      </c>
      <c r="J380">
        <v>1866.18</v>
      </c>
      <c r="K380">
        <v>87.4</v>
      </c>
      <c r="L380">
        <v>205.58</v>
      </c>
      <c r="M380" t="s">
        <v>76</v>
      </c>
      <c r="N380" t="s">
        <v>78</v>
      </c>
    </row>
    <row r="381" spans="1:14" x14ac:dyDescent="0.3">
      <c r="A381">
        <v>2380</v>
      </c>
      <c r="B381" s="4">
        <v>44604</v>
      </c>
      <c r="C381">
        <v>2022</v>
      </c>
      <c r="D381" t="s">
        <v>18</v>
      </c>
      <c r="E381" t="s">
        <v>29</v>
      </c>
      <c r="F381" t="s">
        <v>63</v>
      </c>
      <c r="G381" t="s">
        <v>70</v>
      </c>
      <c r="H381">
        <v>2</v>
      </c>
      <c r="I381">
        <v>99.24</v>
      </c>
      <c r="J381">
        <v>198.48</v>
      </c>
      <c r="K381">
        <v>66.510000000000005</v>
      </c>
      <c r="L381">
        <v>65.459999999999994</v>
      </c>
      <c r="M381" t="s">
        <v>75</v>
      </c>
      <c r="N381" t="s">
        <v>77</v>
      </c>
    </row>
    <row r="382" spans="1:14" x14ac:dyDescent="0.3">
      <c r="A382">
        <v>2381</v>
      </c>
      <c r="B382" s="4">
        <v>45602</v>
      </c>
      <c r="C382">
        <v>2024</v>
      </c>
      <c r="D382" t="s">
        <v>21</v>
      </c>
      <c r="E382" t="s">
        <v>33</v>
      </c>
      <c r="F382" t="s">
        <v>67</v>
      </c>
      <c r="G382" t="s">
        <v>71</v>
      </c>
      <c r="H382">
        <v>16</v>
      </c>
      <c r="I382">
        <v>173.48</v>
      </c>
      <c r="J382">
        <v>2775.68</v>
      </c>
      <c r="K382">
        <v>108.9</v>
      </c>
      <c r="L382">
        <v>1033.28</v>
      </c>
      <c r="M382" t="s">
        <v>74</v>
      </c>
      <c r="N382" t="s">
        <v>79</v>
      </c>
    </row>
    <row r="383" spans="1:14" x14ac:dyDescent="0.3">
      <c r="A383">
        <v>2382</v>
      </c>
      <c r="B383" s="4">
        <v>45585</v>
      </c>
      <c r="C383">
        <v>2024</v>
      </c>
      <c r="D383" t="s">
        <v>14</v>
      </c>
      <c r="E383" t="s">
        <v>30</v>
      </c>
      <c r="F383" t="s">
        <v>55</v>
      </c>
      <c r="G383" t="s">
        <v>71</v>
      </c>
      <c r="H383">
        <v>9</v>
      </c>
      <c r="I383">
        <v>124.92</v>
      </c>
      <c r="J383">
        <v>1124.28</v>
      </c>
      <c r="K383">
        <v>105.61</v>
      </c>
      <c r="L383">
        <v>173.79</v>
      </c>
      <c r="M383" t="s">
        <v>76</v>
      </c>
      <c r="N383" t="s">
        <v>79</v>
      </c>
    </row>
    <row r="384" spans="1:14" x14ac:dyDescent="0.3">
      <c r="A384">
        <v>2383</v>
      </c>
      <c r="B384" s="4">
        <v>45638</v>
      </c>
      <c r="C384">
        <v>2024</v>
      </c>
      <c r="D384" t="s">
        <v>22</v>
      </c>
      <c r="E384" t="s">
        <v>38</v>
      </c>
      <c r="F384" t="s">
        <v>56</v>
      </c>
      <c r="G384" t="s">
        <v>70</v>
      </c>
      <c r="H384">
        <v>20</v>
      </c>
      <c r="I384">
        <v>70.03</v>
      </c>
      <c r="J384">
        <v>1400.6</v>
      </c>
      <c r="K384">
        <v>57.61</v>
      </c>
      <c r="L384">
        <v>248.4</v>
      </c>
      <c r="M384" t="s">
        <v>76</v>
      </c>
      <c r="N384" t="s">
        <v>77</v>
      </c>
    </row>
    <row r="385" spans="1:14" x14ac:dyDescent="0.3">
      <c r="A385">
        <v>2384</v>
      </c>
      <c r="B385" s="4">
        <v>45364</v>
      </c>
      <c r="C385">
        <v>2024</v>
      </c>
      <c r="D385" t="s">
        <v>17</v>
      </c>
      <c r="E385" t="s">
        <v>27</v>
      </c>
      <c r="F385" t="s">
        <v>53</v>
      </c>
      <c r="G385" t="s">
        <v>69</v>
      </c>
      <c r="H385">
        <v>2</v>
      </c>
      <c r="I385">
        <v>86.89</v>
      </c>
      <c r="J385">
        <v>173.78</v>
      </c>
      <c r="K385">
        <v>63.48</v>
      </c>
      <c r="L385">
        <v>46.82</v>
      </c>
      <c r="M385" t="s">
        <v>76</v>
      </c>
      <c r="N385" t="s">
        <v>80</v>
      </c>
    </row>
    <row r="386" spans="1:14" x14ac:dyDescent="0.3">
      <c r="A386">
        <v>2385</v>
      </c>
      <c r="B386" s="4">
        <v>45171</v>
      </c>
      <c r="C386">
        <v>2023</v>
      </c>
      <c r="D386" t="s">
        <v>19</v>
      </c>
      <c r="E386" t="s">
        <v>39</v>
      </c>
      <c r="F386" t="s">
        <v>63</v>
      </c>
      <c r="G386" t="s">
        <v>70</v>
      </c>
      <c r="H386">
        <v>1</v>
      </c>
      <c r="I386">
        <v>102.74</v>
      </c>
      <c r="J386">
        <v>102.74</v>
      </c>
      <c r="K386">
        <v>69.319999999999993</v>
      </c>
      <c r="L386">
        <v>33.42</v>
      </c>
      <c r="M386" t="s">
        <v>76</v>
      </c>
      <c r="N386" t="s">
        <v>79</v>
      </c>
    </row>
    <row r="387" spans="1:14" x14ac:dyDescent="0.3">
      <c r="A387">
        <v>2386</v>
      </c>
      <c r="B387" s="4">
        <v>44799</v>
      </c>
      <c r="C387">
        <v>2022</v>
      </c>
      <c r="D387" t="s">
        <v>22</v>
      </c>
      <c r="E387" t="s">
        <v>38</v>
      </c>
      <c r="F387" t="s">
        <v>61</v>
      </c>
      <c r="G387" t="s">
        <v>68</v>
      </c>
      <c r="H387">
        <v>18</v>
      </c>
      <c r="I387">
        <v>162.41999999999999</v>
      </c>
      <c r="J387">
        <v>2923.56</v>
      </c>
      <c r="K387">
        <v>119.42</v>
      </c>
      <c r="L387">
        <v>774</v>
      </c>
      <c r="M387" t="s">
        <v>74</v>
      </c>
      <c r="N387" t="s">
        <v>79</v>
      </c>
    </row>
    <row r="388" spans="1:14" x14ac:dyDescent="0.3">
      <c r="A388">
        <v>2387</v>
      </c>
      <c r="B388" s="4">
        <v>44689</v>
      </c>
      <c r="C388">
        <v>2022</v>
      </c>
      <c r="D388" t="s">
        <v>22</v>
      </c>
      <c r="E388" t="s">
        <v>38</v>
      </c>
      <c r="F388" t="s">
        <v>56</v>
      </c>
      <c r="G388" t="s">
        <v>70</v>
      </c>
      <c r="H388">
        <v>2</v>
      </c>
      <c r="I388">
        <v>107.81</v>
      </c>
      <c r="J388">
        <v>215.62</v>
      </c>
      <c r="K388">
        <v>81.25</v>
      </c>
      <c r="L388">
        <v>53.12</v>
      </c>
      <c r="M388" t="s">
        <v>74</v>
      </c>
      <c r="N388" t="s">
        <v>77</v>
      </c>
    </row>
    <row r="389" spans="1:14" x14ac:dyDescent="0.3">
      <c r="A389">
        <v>2388</v>
      </c>
      <c r="B389" s="4">
        <v>44823</v>
      </c>
      <c r="C389">
        <v>2022</v>
      </c>
      <c r="D389" t="s">
        <v>23</v>
      </c>
      <c r="E389" t="s">
        <v>37</v>
      </c>
      <c r="F389" t="s">
        <v>50</v>
      </c>
      <c r="G389" t="s">
        <v>73</v>
      </c>
      <c r="H389">
        <v>4</v>
      </c>
      <c r="I389">
        <v>84.26</v>
      </c>
      <c r="J389">
        <v>337.04</v>
      </c>
      <c r="K389">
        <v>73.489999999999995</v>
      </c>
      <c r="L389">
        <v>43.08</v>
      </c>
      <c r="M389" t="s">
        <v>74</v>
      </c>
      <c r="N389" t="s">
        <v>78</v>
      </c>
    </row>
    <row r="390" spans="1:14" x14ac:dyDescent="0.3">
      <c r="A390">
        <v>2389</v>
      </c>
      <c r="B390" s="4">
        <v>44843</v>
      </c>
      <c r="C390">
        <v>2022</v>
      </c>
      <c r="D390" t="s">
        <v>21</v>
      </c>
      <c r="E390" t="s">
        <v>41</v>
      </c>
      <c r="F390" t="s">
        <v>50</v>
      </c>
      <c r="G390" t="s">
        <v>73</v>
      </c>
      <c r="H390">
        <v>15</v>
      </c>
      <c r="I390">
        <v>132.06</v>
      </c>
      <c r="J390">
        <v>1980.9</v>
      </c>
      <c r="K390">
        <v>99.78</v>
      </c>
      <c r="L390">
        <v>484.2</v>
      </c>
      <c r="M390" t="s">
        <v>74</v>
      </c>
      <c r="N390" t="s">
        <v>79</v>
      </c>
    </row>
    <row r="391" spans="1:14" x14ac:dyDescent="0.3">
      <c r="A391">
        <v>2390</v>
      </c>
      <c r="B391" s="4">
        <v>45099</v>
      </c>
      <c r="C391">
        <v>2023</v>
      </c>
      <c r="D391" t="s">
        <v>22</v>
      </c>
      <c r="E391" t="s">
        <v>38</v>
      </c>
      <c r="F391" t="s">
        <v>62</v>
      </c>
      <c r="G391" t="s">
        <v>72</v>
      </c>
      <c r="H391">
        <v>10</v>
      </c>
      <c r="I391">
        <v>148.79</v>
      </c>
      <c r="J391">
        <v>1487.9</v>
      </c>
      <c r="K391">
        <v>102.24</v>
      </c>
      <c r="L391">
        <v>465.5</v>
      </c>
      <c r="M391" t="s">
        <v>75</v>
      </c>
      <c r="N391" t="s">
        <v>80</v>
      </c>
    </row>
    <row r="392" spans="1:14" x14ac:dyDescent="0.3">
      <c r="A392">
        <v>2391</v>
      </c>
      <c r="B392" s="4">
        <v>44882</v>
      </c>
      <c r="C392">
        <v>2022</v>
      </c>
      <c r="D392" t="s">
        <v>20</v>
      </c>
      <c r="E392" t="s">
        <v>32</v>
      </c>
      <c r="F392" t="s">
        <v>58</v>
      </c>
      <c r="G392" t="s">
        <v>68</v>
      </c>
      <c r="H392">
        <v>19</v>
      </c>
      <c r="I392">
        <v>78.569999999999993</v>
      </c>
      <c r="J392">
        <v>1492.83</v>
      </c>
      <c r="K392">
        <v>49.41</v>
      </c>
      <c r="L392">
        <v>554.04</v>
      </c>
      <c r="M392" t="s">
        <v>76</v>
      </c>
      <c r="N392" t="s">
        <v>79</v>
      </c>
    </row>
    <row r="393" spans="1:14" x14ac:dyDescent="0.3">
      <c r="A393">
        <v>2392</v>
      </c>
      <c r="B393" s="4">
        <v>44728</v>
      </c>
      <c r="C393">
        <v>2022</v>
      </c>
      <c r="D393" t="s">
        <v>20</v>
      </c>
      <c r="E393" t="s">
        <v>40</v>
      </c>
      <c r="F393" t="s">
        <v>65</v>
      </c>
      <c r="G393" t="s">
        <v>73</v>
      </c>
      <c r="H393">
        <v>18</v>
      </c>
      <c r="I393">
        <v>137.41</v>
      </c>
      <c r="J393">
        <v>2473.38</v>
      </c>
      <c r="K393">
        <v>106.15</v>
      </c>
      <c r="L393">
        <v>562.67999999999995</v>
      </c>
      <c r="M393" t="s">
        <v>76</v>
      </c>
      <c r="N393" t="s">
        <v>77</v>
      </c>
    </row>
    <row r="394" spans="1:14" x14ac:dyDescent="0.3">
      <c r="A394">
        <v>2393</v>
      </c>
      <c r="B394" s="4">
        <v>45248</v>
      </c>
      <c r="C394">
        <v>2023</v>
      </c>
      <c r="D394" t="s">
        <v>19</v>
      </c>
      <c r="E394" t="s">
        <v>31</v>
      </c>
      <c r="F394" t="s">
        <v>48</v>
      </c>
      <c r="G394" t="s">
        <v>68</v>
      </c>
      <c r="H394">
        <v>9</v>
      </c>
      <c r="I394">
        <v>159.44999999999999</v>
      </c>
      <c r="J394">
        <v>1435.05</v>
      </c>
      <c r="K394">
        <v>97.02</v>
      </c>
      <c r="L394">
        <v>561.87</v>
      </c>
      <c r="M394" t="s">
        <v>74</v>
      </c>
      <c r="N394" t="s">
        <v>79</v>
      </c>
    </row>
    <row r="395" spans="1:14" x14ac:dyDescent="0.3">
      <c r="A395">
        <v>2394</v>
      </c>
      <c r="B395" s="4">
        <v>45217</v>
      </c>
      <c r="C395">
        <v>2023</v>
      </c>
      <c r="D395" t="s">
        <v>18</v>
      </c>
      <c r="E395" t="s">
        <v>29</v>
      </c>
      <c r="F395" t="s">
        <v>57</v>
      </c>
      <c r="G395" t="s">
        <v>73</v>
      </c>
      <c r="H395">
        <v>17</v>
      </c>
      <c r="I395">
        <v>90.04</v>
      </c>
      <c r="J395">
        <v>1530.68</v>
      </c>
      <c r="K395">
        <v>76.569999999999993</v>
      </c>
      <c r="L395">
        <v>228.99</v>
      </c>
      <c r="M395" t="s">
        <v>74</v>
      </c>
      <c r="N395" t="s">
        <v>78</v>
      </c>
    </row>
    <row r="396" spans="1:14" x14ac:dyDescent="0.3">
      <c r="A396">
        <v>2395</v>
      </c>
      <c r="B396" s="4">
        <v>45525</v>
      </c>
      <c r="C396">
        <v>2024</v>
      </c>
      <c r="D396" t="s">
        <v>16</v>
      </c>
      <c r="E396" t="s">
        <v>35</v>
      </c>
      <c r="F396" t="s">
        <v>57</v>
      </c>
      <c r="G396" t="s">
        <v>73</v>
      </c>
      <c r="H396">
        <v>2</v>
      </c>
      <c r="I396">
        <v>76.37</v>
      </c>
      <c r="J396">
        <v>152.74</v>
      </c>
      <c r="K396">
        <v>53.24</v>
      </c>
      <c r="L396">
        <v>46.26</v>
      </c>
      <c r="M396" t="s">
        <v>76</v>
      </c>
      <c r="N396" t="s">
        <v>79</v>
      </c>
    </row>
    <row r="397" spans="1:14" x14ac:dyDescent="0.3">
      <c r="A397">
        <v>2396</v>
      </c>
      <c r="B397" s="4">
        <v>44586</v>
      </c>
      <c r="C397">
        <v>2022</v>
      </c>
      <c r="D397" t="s">
        <v>23</v>
      </c>
      <c r="E397" t="s">
        <v>43</v>
      </c>
      <c r="F397" t="s">
        <v>65</v>
      </c>
      <c r="G397" t="s">
        <v>73</v>
      </c>
      <c r="H397">
        <v>9</v>
      </c>
      <c r="I397">
        <v>129.38999999999999</v>
      </c>
      <c r="J397">
        <v>1164.51</v>
      </c>
      <c r="K397">
        <v>108.61</v>
      </c>
      <c r="L397">
        <v>187.02</v>
      </c>
      <c r="M397" t="s">
        <v>74</v>
      </c>
      <c r="N397" t="s">
        <v>80</v>
      </c>
    </row>
    <row r="398" spans="1:14" x14ac:dyDescent="0.3">
      <c r="A398">
        <v>2397</v>
      </c>
      <c r="B398" s="4">
        <v>45368</v>
      </c>
      <c r="C398">
        <v>2024</v>
      </c>
      <c r="D398" t="s">
        <v>17</v>
      </c>
      <c r="E398" t="s">
        <v>27</v>
      </c>
      <c r="F398" t="s">
        <v>59</v>
      </c>
      <c r="G398" t="s">
        <v>69</v>
      </c>
      <c r="H398">
        <v>16</v>
      </c>
      <c r="I398">
        <v>148.35</v>
      </c>
      <c r="J398">
        <v>2373.6</v>
      </c>
      <c r="K398">
        <v>122.43</v>
      </c>
      <c r="L398">
        <v>414.72</v>
      </c>
      <c r="M398" t="s">
        <v>74</v>
      </c>
      <c r="N398" t="s">
        <v>77</v>
      </c>
    </row>
    <row r="399" spans="1:14" x14ac:dyDescent="0.3">
      <c r="A399">
        <v>2398</v>
      </c>
      <c r="B399" s="4">
        <v>44630</v>
      </c>
      <c r="C399">
        <v>2022</v>
      </c>
      <c r="D399" t="s">
        <v>23</v>
      </c>
      <c r="E399" t="s">
        <v>43</v>
      </c>
      <c r="F399" t="s">
        <v>49</v>
      </c>
      <c r="G399" t="s">
        <v>72</v>
      </c>
      <c r="H399">
        <v>18</v>
      </c>
      <c r="I399">
        <v>51.21</v>
      </c>
      <c r="J399">
        <v>921.78</v>
      </c>
      <c r="K399">
        <v>31.26</v>
      </c>
      <c r="L399">
        <v>359.1</v>
      </c>
      <c r="M399" t="s">
        <v>76</v>
      </c>
      <c r="N399" t="s">
        <v>80</v>
      </c>
    </row>
    <row r="400" spans="1:14" x14ac:dyDescent="0.3">
      <c r="A400">
        <v>2399</v>
      </c>
      <c r="B400" s="4">
        <v>45204</v>
      </c>
      <c r="C400">
        <v>2023</v>
      </c>
      <c r="D400" t="s">
        <v>15</v>
      </c>
      <c r="E400" t="s">
        <v>25</v>
      </c>
      <c r="F400" t="s">
        <v>44</v>
      </c>
      <c r="G400" t="s">
        <v>68</v>
      </c>
      <c r="H400">
        <v>8</v>
      </c>
      <c r="I400">
        <v>159.71</v>
      </c>
      <c r="J400">
        <v>1277.68</v>
      </c>
      <c r="K400">
        <v>96.43</v>
      </c>
      <c r="L400">
        <v>506.24</v>
      </c>
      <c r="M400" t="s">
        <v>76</v>
      </c>
      <c r="N400" t="s">
        <v>79</v>
      </c>
    </row>
    <row r="401" spans="1:14" x14ac:dyDescent="0.3">
      <c r="A401">
        <v>2400</v>
      </c>
      <c r="B401" s="4">
        <v>45539</v>
      </c>
      <c r="C401">
        <v>2024</v>
      </c>
      <c r="D401" t="s">
        <v>21</v>
      </c>
      <c r="E401" t="s">
        <v>33</v>
      </c>
      <c r="F401" t="s">
        <v>56</v>
      </c>
      <c r="G401" t="s">
        <v>70</v>
      </c>
      <c r="H401">
        <v>20</v>
      </c>
      <c r="I401">
        <v>42.19</v>
      </c>
      <c r="J401">
        <v>843.8</v>
      </c>
      <c r="K401">
        <v>28.06</v>
      </c>
      <c r="L401">
        <v>282.60000000000002</v>
      </c>
      <c r="M401" t="s">
        <v>75</v>
      </c>
      <c r="N401" t="s">
        <v>78</v>
      </c>
    </row>
    <row r="402" spans="1:14" x14ac:dyDescent="0.3">
      <c r="A402">
        <v>2401</v>
      </c>
      <c r="B402" s="4">
        <v>44827</v>
      </c>
      <c r="C402">
        <v>2022</v>
      </c>
      <c r="D402" t="s">
        <v>16</v>
      </c>
      <c r="E402" t="s">
        <v>26</v>
      </c>
      <c r="F402" t="s">
        <v>65</v>
      </c>
      <c r="G402" t="s">
        <v>73</v>
      </c>
      <c r="H402">
        <v>2</v>
      </c>
      <c r="I402">
        <v>115.5</v>
      </c>
      <c r="J402">
        <v>231</v>
      </c>
      <c r="K402">
        <v>95.88</v>
      </c>
      <c r="L402">
        <v>39.24</v>
      </c>
      <c r="M402" t="s">
        <v>75</v>
      </c>
      <c r="N402" t="s">
        <v>79</v>
      </c>
    </row>
    <row r="403" spans="1:14" x14ac:dyDescent="0.3">
      <c r="A403">
        <v>2402</v>
      </c>
      <c r="B403" s="4">
        <v>45333</v>
      </c>
      <c r="C403">
        <v>2024</v>
      </c>
      <c r="D403" t="s">
        <v>15</v>
      </c>
      <c r="E403" t="s">
        <v>28</v>
      </c>
      <c r="F403" t="s">
        <v>61</v>
      </c>
      <c r="G403" t="s">
        <v>68</v>
      </c>
      <c r="H403">
        <v>11</v>
      </c>
      <c r="I403">
        <v>189.01</v>
      </c>
      <c r="J403">
        <v>2079.11</v>
      </c>
      <c r="K403">
        <v>138.4</v>
      </c>
      <c r="L403">
        <v>556.71</v>
      </c>
      <c r="M403" t="s">
        <v>76</v>
      </c>
      <c r="N403" t="s">
        <v>80</v>
      </c>
    </row>
    <row r="404" spans="1:14" x14ac:dyDescent="0.3">
      <c r="A404">
        <v>2403</v>
      </c>
      <c r="B404" s="4">
        <v>45025</v>
      </c>
      <c r="C404">
        <v>2023</v>
      </c>
      <c r="D404" t="s">
        <v>14</v>
      </c>
      <c r="E404" t="s">
        <v>30</v>
      </c>
      <c r="F404" t="s">
        <v>57</v>
      </c>
      <c r="G404" t="s">
        <v>73</v>
      </c>
      <c r="H404">
        <v>18</v>
      </c>
      <c r="I404">
        <v>99.14</v>
      </c>
      <c r="J404">
        <v>1784.52</v>
      </c>
      <c r="K404">
        <v>71.599999999999994</v>
      </c>
      <c r="L404">
        <v>495.72</v>
      </c>
      <c r="M404" t="s">
        <v>75</v>
      </c>
      <c r="N404" t="s">
        <v>78</v>
      </c>
    </row>
    <row r="405" spans="1:14" x14ac:dyDescent="0.3">
      <c r="A405">
        <v>2404</v>
      </c>
      <c r="B405" s="4">
        <v>45388</v>
      </c>
      <c r="C405">
        <v>2024</v>
      </c>
      <c r="D405" t="s">
        <v>21</v>
      </c>
      <c r="E405" t="s">
        <v>41</v>
      </c>
      <c r="F405" t="s">
        <v>59</v>
      </c>
      <c r="G405" t="s">
        <v>69</v>
      </c>
      <c r="H405">
        <v>14</v>
      </c>
      <c r="I405">
        <v>127.45</v>
      </c>
      <c r="J405">
        <v>1784.3</v>
      </c>
      <c r="K405">
        <v>101.08</v>
      </c>
      <c r="L405">
        <v>369.18</v>
      </c>
      <c r="M405" t="s">
        <v>76</v>
      </c>
      <c r="N405" t="s">
        <v>78</v>
      </c>
    </row>
    <row r="406" spans="1:14" x14ac:dyDescent="0.3">
      <c r="A406">
        <v>2405</v>
      </c>
      <c r="B406" s="4">
        <v>45057</v>
      </c>
      <c r="C406">
        <v>2023</v>
      </c>
      <c r="D406" t="s">
        <v>21</v>
      </c>
      <c r="E406" t="s">
        <v>41</v>
      </c>
      <c r="F406" t="s">
        <v>67</v>
      </c>
      <c r="G406" t="s">
        <v>71</v>
      </c>
      <c r="H406">
        <v>1</v>
      </c>
      <c r="I406">
        <v>100.4</v>
      </c>
      <c r="J406">
        <v>100.4</v>
      </c>
      <c r="K406">
        <v>63.08</v>
      </c>
      <c r="L406">
        <v>37.32</v>
      </c>
      <c r="M406" t="s">
        <v>76</v>
      </c>
      <c r="N406" t="s">
        <v>77</v>
      </c>
    </row>
    <row r="407" spans="1:14" x14ac:dyDescent="0.3">
      <c r="A407">
        <v>2406</v>
      </c>
      <c r="B407" s="4">
        <v>45455</v>
      </c>
      <c r="C407">
        <v>2024</v>
      </c>
      <c r="D407" t="s">
        <v>18</v>
      </c>
      <c r="E407" t="s">
        <v>29</v>
      </c>
      <c r="F407" t="s">
        <v>60</v>
      </c>
      <c r="G407" t="s">
        <v>73</v>
      </c>
      <c r="H407">
        <v>8</v>
      </c>
      <c r="I407">
        <v>54.92</v>
      </c>
      <c r="J407">
        <v>439.36</v>
      </c>
      <c r="K407">
        <v>40.74</v>
      </c>
      <c r="L407">
        <v>113.44</v>
      </c>
      <c r="M407" t="s">
        <v>74</v>
      </c>
      <c r="N407" t="s">
        <v>80</v>
      </c>
    </row>
    <row r="408" spans="1:14" x14ac:dyDescent="0.3">
      <c r="A408">
        <v>2407</v>
      </c>
      <c r="B408" s="4">
        <v>45376</v>
      </c>
      <c r="C408">
        <v>2024</v>
      </c>
      <c r="D408" t="s">
        <v>15</v>
      </c>
      <c r="E408" t="s">
        <v>25</v>
      </c>
      <c r="F408" t="s">
        <v>54</v>
      </c>
      <c r="G408" t="s">
        <v>72</v>
      </c>
      <c r="H408">
        <v>3</v>
      </c>
      <c r="I408">
        <v>153</v>
      </c>
      <c r="J408">
        <v>459</v>
      </c>
      <c r="K408">
        <v>125.72</v>
      </c>
      <c r="L408">
        <v>81.84</v>
      </c>
      <c r="M408" t="s">
        <v>76</v>
      </c>
      <c r="N408" t="s">
        <v>79</v>
      </c>
    </row>
    <row r="409" spans="1:14" x14ac:dyDescent="0.3">
      <c r="A409">
        <v>2408</v>
      </c>
      <c r="B409" s="4">
        <v>45194</v>
      </c>
      <c r="C409">
        <v>2023</v>
      </c>
      <c r="D409" t="s">
        <v>21</v>
      </c>
      <c r="E409" t="s">
        <v>41</v>
      </c>
      <c r="F409" t="s">
        <v>52</v>
      </c>
      <c r="G409" t="s">
        <v>71</v>
      </c>
      <c r="H409">
        <v>15</v>
      </c>
      <c r="I409">
        <v>182.36</v>
      </c>
      <c r="J409">
        <v>2735.4</v>
      </c>
      <c r="K409">
        <v>159.47</v>
      </c>
      <c r="L409">
        <v>343.35</v>
      </c>
      <c r="M409" t="s">
        <v>75</v>
      </c>
      <c r="N409" t="s">
        <v>79</v>
      </c>
    </row>
    <row r="410" spans="1:14" x14ac:dyDescent="0.3">
      <c r="A410">
        <v>2409</v>
      </c>
      <c r="B410" s="4">
        <v>44634</v>
      </c>
      <c r="C410">
        <v>2022</v>
      </c>
      <c r="D410" t="s">
        <v>19</v>
      </c>
      <c r="E410" t="s">
        <v>31</v>
      </c>
      <c r="F410" t="s">
        <v>55</v>
      </c>
      <c r="G410" t="s">
        <v>71</v>
      </c>
      <c r="H410">
        <v>15</v>
      </c>
      <c r="I410">
        <v>104.76</v>
      </c>
      <c r="J410">
        <v>1571.4</v>
      </c>
      <c r="K410">
        <v>91.55</v>
      </c>
      <c r="L410">
        <v>198.15</v>
      </c>
      <c r="M410" t="s">
        <v>75</v>
      </c>
      <c r="N410" t="s">
        <v>77</v>
      </c>
    </row>
    <row r="411" spans="1:14" x14ac:dyDescent="0.3">
      <c r="A411">
        <v>2410</v>
      </c>
      <c r="B411" s="4">
        <v>44671</v>
      </c>
      <c r="C411">
        <v>2022</v>
      </c>
      <c r="D411" t="s">
        <v>17</v>
      </c>
      <c r="E411" t="s">
        <v>27</v>
      </c>
      <c r="F411" t="s">
        <v>58</v>
      </c>
      <c r="G411" t="s">
        <v>68</v>
      </c>
      <c r="H411">
        <v>16</v>
      </c>
      <c r="I411">
        <v>193.21</v>
      </c>
      <c r="J411">
        <v>3091.36</v>
      </c>
      <c r="K411">
        <v>168.25</v>
      </c>
      <c r="L411">
        <v>399.36</v>
      </c>
      <c r="M411" t="s">
        <v>75</v>
      </c>
      <c r="N411" t="s">
        <v>78</v>
      </c>
    </row>
    <row r="412" spans="1:14" x14ac:dyDescent="0.3">
      <c r="A412">
        <v>2411</v>
      </c>
      <c r="B412" s="4">
        <v>45176</v>
      </c>
      <c r="C412">
        <v>2023</v>
      </c>
      <c r="D412" t="s">
        <v>21</v>
      </c>
      <c r="E412" t="s">
        <v>41</v>
      </c>
      <c r="F412" t="s">
        <v>67</v>
      </c>
      <c r="G412" t="s">
        <v>71</v>
      </c>
      <c r="H412">
        <v>4</v>
      </c>
      <c r="I412">
        <v>74.64</v>
      </c>
      <c r="J412">
        <v>298.56</v>
      </c>
      <c r="K412">
        <v>64.459999999999994</v>
      </c>
      <c r="L412">
        <v>40.72</v>
      </c>
      <c r="M412" t="s">
        <v>75</v>
      </c>
      <c r="N412" t="s">
        <v>79</v>
      </c>
    </row>
    <row r="413" spans="1:14" x14ac:dyDescent="0.3">
      <c r="A413">
        <v>2412</v>
      </c>
      <c r="B413" s="4">
        <v>44962</v>
      </c>
      <c r="C413">
        <v>2023</v>
      </c>
      <c r="D413" t="s">
        <v>21</v>
      </c>
      <c r="E413" t="s">
        <v>33</v>
      </c>
      <c r="F413" t="s">
        <v>46</v>
      </c>
      <c r="G413" t="s">
        <v>70</v>
      </c>
      <c r="H413">
        <v>3</v>
      </c>
      <c r="I413">
        <v>34.049999999999997</v>
      </c>
      <c r="J413">
        <v>102.15</v>
      </c>
      <c r="K413">
        <v>30.22</v>
      </c>
      <c r="L413">
        <v>11.49</v>
      </c>
      <c r="M413" t="s">
        <v>74</v>
      </c>
      <c r="N413" t="s">
        <v>78</v>
      </c>
    </row>
    <row r="414" spans="1:14" x14ac:dyDescent="0.3">
      <c r="A414">
        <v>2413</v>
      </c>
      <c r="B414" s="4">
        <v>45345</v>
      </c>
      <c r="C414">
        <v>2024</v>
      </c>
      <c r="D414" t="s">
        <v>14</v>
      </c>
      <c r="E414" t="s">
        <v>24</v>
      </c>
      <c r="F414" t="s">
        <v>45</v>
      </c>
      <c r="G414" t="s">
        <v>69</v>
      </c>
      <c r="H414">
        <v>4</v>
      </c>
      <c r="I414">
        <v>183.41</v>
      </c>
      <c r="J414">
        <v>733.64</v>
      </c>
      <c r="K414">
        <v>110.59</v>
      </c>
      <c r="L414">
        <v>291.27999999999997</v>
      </c>
      <c r="M414" t="s">
        <v>75</v>
      </c>
      <c r="N414" t="s">
        <v>79</v>
      </c>
    </row>
    <row r="415" spans="1:14" x14ac:dyDescent="0.3">
      <c r="A415">
        <v>2414</v>
      </c>
      <c r="B415" s="4">
        <v>45095</v>
      </c>
      <c r="C415">
        <v>2023</v>
      </c>
      <c r="D415" t="s">
        <v>17</v>
      </c>
      <c r="E415" t="s">
        <v>27</v>
      </c>
      <c r="F415" t="s">
        <v>48</v>
      </c>
      <c r="G415" t="s">
        <v>68</v>
      </c>
      <c r="H415">
        <v>1</v>
      </c>
      <c r="I415">
        <v>144.62</v>
      </c>
      <c r="J415">
        <v>144.62</v>
      </c>
      <c r="K415">
        <v>112.32</v>
      </c>
      <c r="L415">
        <v>32.299999999999997</v>
      </c>
      <c r="M415" t="s">
        <v>74</v>
      </c>
      <c r="N415" t="s">
        <v>79</v>
      </c>
    </row>
    <row r="416" spans="1:14" x14ac:dyDescent="0.3">
      <c r="A416">
        <v>2415</v>
      </c>
      <c r="B416" s="4">
        <v>45638</v>
      </c>
      <c r="C416">
        <v>2024</v>
      </c>
      <c r="D416" t="s">
        <v>22</v>
      </c>
      <c r="E416" t="s">
        <v>38</v>
      </c>
      <c r="F416" t="s">
        <v>66</v>
      </c>
      <c r="G416" t="s">
        <v>72</v>
      </c>
      <c r="H416">
        <v>10</v>
      </c>
      <c r="I416">
        <v>100.73</v>
      </c>
      <c r="J416">
        <v>1007.3</v>
      </c>
      <c r="K416">
        <v>77.38</v>
      </c>
      <c r="L416">
        <v>233.5</v>
      </c>
      <c r="M416" t="s">
        <v>75</v>
      </c>
      <c r="N416" t="s">
        <v>77</v>
      </c>
    </row>
    <row r="417" spans="1:14" x14ac:dyDescent="0.3">
      <c r="A417">
        <v>2416</v>
      </c>
      <c r="B417" s="4">
        <v>45453</v>
      </c>
      <c r="C417">
        <v>2024</v>
      </c>
      <c r="D417" t="s">
        <v>18</v>
      </c>
      <c r="E417" t="s">
        <v>29</v>
      </c>
      <c r="F417" t="s">
        <v>50</v>
      </c>
      <c r="G417" t="s">
        <v>73</v>
      </c>
      <c r="H417">
        <v>17</v>
      </c>
      <c r="I417">
        <v>89.53</v>
      </c>
      <c r="J417">
        <v>1522.01</v>
      </c>
      <c r="K417">
        <v>78.87</v>
      </c>
      <c r="L417">
        <v>181.22</v>
      </c>
      <c r="M417" t="s">
        <v>74</v>
      </c>
      <c r="N417" t="s">
        <v>78</v>
      </c>
    </row>
    <row r="418" spans="1:14" x14ac:dyDescent="0.3">
      <c r="A418">
        <v>2417</v>
      </c>
      <c r="B418" s="4">
        <v>44573</v>
      </c>
      <c r="C418">
        <v>2022</v>
      </c>
      <c r="D418" t="s">
        <v>16</v>
      </c>
      <c r="E418" t="s">
        <v>26</v>
      </c>
      <c r="F418" t="s">
        <v>53</v>
      </c>
      <c r="G418" t="s">
        <v>69</v>
      </c>
      <c r="H418">
        <v>7</v>
      </c>
      <c r="I418">
        <v>78.38</v>
      </c>
      <c r="J418">
        <v>548.66</v>
      </c>
      <c r="K418">
        <v>68.22</v>
      </c>
      <c r="L418">
        <v>71.12</v>
      </c>
      <c r="M418" t="s">
        <v>75</v>
      </c>
      <c r="N418" t="s">
        <v>79</v>
      </c>
    </row>
    <row r="419" spans="1:14" x14ac:dyDescent="0.3">
      <c r="A419">
        <v>2418</v>
      </c>
      <c r="B419" s="4">
        <v>45301</v>
      </c>
      <c r="C419">
        <v>2024</v>
      </c>
      <c r="D419" t="s">
        <v>17</v>
      </c>
      <c r="E419" t="s">
        <v>34</v>
      </c>
      <c r="F419" t="s">
        <v>44</v>
      </c>
      <c r="G419" t="s">
        <v>68</v>
      </c>
      <c r="H419">
        <v>1</v>
      </c>
      <c r="I419">
        <v>88.19</v>
      </c>
      <c r="J419">
        <v>88.19</v>
      </c>
      <c r="K419">
        <v>55.45</v>
      </c>
      <c r="L419">
        <v>32.74</v>
      </c>
      <c r="M419" t="s">
        <v>74</v>
      </c>
      <c r="N419" t="s">
        <v>80</v>
      </c>
    </row>
    <row r="420" spans="1:14" x14ac:dyDescent="0.3">
      <c r="A420">
        <v>2419</v>
      </c>
      <c r="B420" s="4">
        <v>44908</v>
      </c>
      <c r="C420">
        <v>2022</v>
      </c>
      <c r="D420" t="s">
        <v>17</v>
      </c>
      <c r="E420" t="s">
        <v>34</v>
      </c>
      <c r="F420" t="s">
        <v>65</v>
      </c>
      <c r="G420" t="s">
        <v>73</v>
      </c>
      <c r="H420">
        <v>9</v>
      </c>
      <c r="I420">
        <v>159.37</v>
      </c>
      <c r="J420">
        <v>1434.33</v>
      </c>
      <c r="K420">
        <v>103.84</v>
      </c>
      <c r="L420">
        <v>499.77</v>
      </c>
      <c r="M420" t="s">
        <v>76</v>
      </c>
      <c r="N420" t="s">
        <v>78</v>
      </c>
    </row>
    <row r="421" spans="1:14" x14ac:dyDescent="0.3">
      <c r="A421">
        <v>2420</v>
      </c>
      <c r="B421" s="4">
        <v>45518</v>
      </c>
      <c r="C421">
        <v>2024</v>
      </c>
      <c r="D421" t="s">
        <v>15</v>
      </c>
      <c r="E421" t="s">
        <v>28</v>
      </c>
      <c r="F421" t="s">
        <v>65</v>
      </c>
      <c r="G421" t="s">
        <v>73</v>
      </c>
      <c r="H421">
        <v>13</v>
      </c>
      <c r="I421">
        <v>39.880000000000003</v>
      </c>
      <c r="J421">
        <v>518.44000000000005</v>
      </c>
      <c r="K421">
        <v>26.01</v>
      </c>
      <c r="L421">
        <v>180.31</v>
      </c>
      <c r="M421" t="s">
        <v>74</v>
      </c>
      <c r="N421" t="s">
        <v>79</v>
      </c>
    </row>
    <row r="422" spans="1:14" x14ac:dyDescent="0.3">
      <c r="A422">
        <v>2421</v>
      </c>
      <c r="B422" s="4">
        <v>45354</v>
      </c>
      <c r="C422">
        <v>2024</v>
      </c>
      <c r="D422" t="s">
        <v>14</v>
      </c>
      <c r="E422" t="s">
        <v>24</v>
      </c>
      <c r="F422" t="s">
        <v>58</v>
      </c>
      <c r="G422" t="s">
        <v>68</v>
      </c>
      <c r="H422">
        <v>17</v>
      </c>
      <c r="I422">
        <v>97.16</v>
      </c>
      <c r="J422">
        <v>1651.72</v>
      </c>
      <c r="K422">
        <v>75.77</v>
      </c>
      <c r="L422">
        <v>363.63</v>
      </c>
      <c r="M422" t="s">
        <v>75</v>
      </c>
      <c r="N422" t="s">
        <v>79</v>
      </c>
    </row>
    <row r="423" spans="1:14" x14ac:dyDescent="0.3">
      <c r="A423">
        <v>2422</v>
      </c>
      <c r="B423" s="4">
        <v>45540</v>
      </c>
      <c r="C423">
        <v>2024</v>
      </c>
      <c r="D423" t="s">
        <v>23</v>
      </c>
      <c r="E423" t="s">
        <v>43</v>
      </c>
      <c r="F423" t="s">
        <v>44</v>
      </c>
      <c r="G423" t="s">
        <v>68</v>
      </c>
      <c r="H423">
        <v>1</v>
      </c>
      <c r="I423">
        <v>109.87</v>
      </c>
      <c r="J423">
        <v>109.87</v>
      </c>
      <c r="K423">
        <v>78.13</v>
      </c>
      <c r="L423">
        <v>31.74</v>
      </c>
      <c r="M423" t="s">
        <v>76</v>
      </c>
      <c r="N423" t="s">
        <v>79</v>
      </c>
    </row>
    <row r="424" spans="1:14" x14ac:dyDescent="0.3">
      <c r="A424">
        <v>2423</v>
      </c>
      <c r="B424" s="4">
        <v>45219</v>
      </c>
      <c r="C424">
        <v>2023</v>
      </c>
      <c r="D424" t="s">
        <v>22</v>
      </c>
      <c r="E424" t="s">
        <v>36</v>
      </c>
      <c r="F424" t="s">
        <v>57</v>
      </c>
      <c r="G424" t="s">
        <v>73</v>
      </c>
      <c r="H424">
        <v>3</v>
      </c>
      <c r="I424">
        <v>157.79</v>
      </c>
      <c r="J424">
        <v>473.37</v>
      </c>
      <c r="K424">
        <v>132.52000000000001</v>
      </c>
      <c r="L424">
        <v>75.81</v>
      </c>
      <c r="M424" t="s">
        <v>75</v>
      </c>
      <c r="N424" t="s">
        <v>77</v>
      </c>
    </row>
    <row r="425" spans="1:14" x14ac:dyDescent="0.3">
      <c r="A425">
        <v>2424</v>
      </c>
      <c r="B425" s="4">
        <v>45368</v>
      </c>
      <c r="C425">
        <v>2024</v>
      </c>
      <c r="D425" t="s">
        <v>14</v>
      </c>
      <c r="E425" t="s">
        <v>30</v>
      </c>
      <c r="F425" t="s">
        <v>56</v>
      </c>
      <c r="G425" t="s">
        <v>70</v>
      </c>
      <c r="H425">
        <v>3</v>
      </c>
      <c r="I425">
        <v>153.85</v>
      </c>
      <c r="J425">
        <v>461.55</v>
      </c>
      <c r="K425">
        <v>133.74</v>
      </c>
      <c r="L425">
        <v>60.33</v>
      </c>
      <c r="M425" t="s">
        <v>74</v>
      </c>
      <c r="N425" t="s">
        <v>77</v>
      </c>
    </row>
    <row r="426" spans="1:14" x14ac:dyDescent="0.3">
      <c r="A426">
        <v>2425</v>
      </c>
      <c r="B426" s="4">
        <v>44660</v>
      </c>
      <c r="C426">
        <v>2022</v>
      </c>
      <c r="D426" t="s">
        <v>15</v>
      </c>
      <c r="E426" t="s">
        <v>28</v>
      </c>
      <c r="F426" t="s">
        <v>60</v>
      </c>
      <c r="G426" t="s">
        <v>73</v>
      </c>
      <c r="H426">
        <v>17</v>
      </c>
      <c r="I426">
        <v>123.16</v>
      </c>
      <c r="J426">
        <v>2093.7199999999998</v>
      </c>
      <c r="K426">
        <v>91.04</v>
      </c>
      <c r="L426">
        <v>546.04</v>
      </c>
      <c r="M426" t="s">
        <v>74</v>
      </c>
      <c r="N426" t="s">
        <v>79</v>
      </c>
    </row>
    <row r="427" spans="1:14" x14ac:dyDescent="0.3">
      <c r="A427">
        <v>2426</v>
      </c>
      <c r="B427" s="4">
        <v>45517</v>
      </c>
      <c r="C427">
        <v>2024</v>
      </c>
      <c r="D427" t="s">
        <v>18</v>
      </c>
      <c r="E427" t="s">
        <v>29</v>
      </c>
      <c r="F427" t="s">
        <v>64</v>
      </c>
      <c r="G427" t="s">
        <v>70</v>
      </c>
      <c r="H427">
        <v>12</v>
      </c>
      <c r="I427">
        <v>126.75</v>
      </c>
      <c r="J427">
        <v>1521</v>
      </c>
      <c r="K427">
        <v>84.03</v>
      </c>
      <c r="L427">
        <v>512.64</v>
      </c>
      <c r="M427" t="s">
        <v>76</v>
      </c>
      <c r="N427" t="s">
        <v>78</v>
      </c>
    </row>
    <row r="428" spans="1:14" x14ac:dyDescent="0.3">
      <c r="A428">
        <v>2427</v>
      </c>
      <c r="B428" s="4">
        <v>45118</v>
      </c>
      <c r="C428">
        <v>2023</v>
      </c>
      <c r="D428" t="s">
        <v>20</v>
      </c>
      <c r="E428" t="s">
        <v>32</v>
      </c>
      <c r="F428" t="s">
        <v>50</v>
      </c>
      <c r="G428" t="s">
        <v>73</v>
      </c>
      <c r="H428">
        <v>2</v>
      </c>
      <c r="I428">
        <v>161.66999999999999</v>
      </c>
      <c r="J428">
        <v>323.33999999999997</v>
      </c>
      <c r="K428">
        <v>126.16</v>
      </c>
      <c r="L428">
        <v>71.02</v>
      </c>
      <c r="M428" t="s">
        <v>75</v>
      </c>
      <c r="N428" t="s">
        <v>80</v>
      </c>
    </row>
    <row r="429" spans="1:14" x14ac:dyDescent="0.3">
      <c r="A429">
        <v>2428</v>
      </c>
      <c r="B429" s="4">
        <v>45650</v>
      </c>
      <c r="C429">
        <v>2024</v>
      </c>
      <c r="D429" t="s">
        <v>17</v>
      </c>
      <c r="E429" t="s">
        <v>27</v>
      </c>
      <c r="F429" t="s">
        <v>53</v>
      </c>
      <c r="G429" t="s">
        <v>69</v>
      </c>
      <c r="H429">
        <v>17</v>
      </c>
      <c r="I429">
        <v>135.69</v>
      </c>
      <c r="J429">
        <v>2306.73</v>
      </c>
      <c r="K429">
        <v>94.08</v>
      </c>
      <c r="L429">
        <v>707.37</v>
      </c>
      <c r="M429" t="s">
        <v>75</v>
      </c>
      <c r="N429" t="s">
        <v>78</v>
      </c>
    </row>
    <row r="430" spans="1:14" x14ac:dyDescent="0.3">
      <c r="A430">
        <v>2429</v>
      </c>
      <c r="B430" s="4">
        <v>45301</v>
      </c>
      <c r="C430">
        <v>2024</v>
      </c>
      <c r="D430" t="s">
        <v>19</v>
      </c>
      <c r="E430" t="s">
        <v>31</v>
      </c>
      <c r="F430" t="s">
        <v>65</v>
      </c>
      <c r="G430" t="s">
        <v>73</v>
      </c>
      <c r="H430">
        <v>11</v>
      </c>
      <c r="I430">
        <v>81.11</v>
      </c>
      <c r="J430">
        <v>892.21</v>
      </c>
      <c r="K430">
        <v>51.4</v>
      </c>
      <c r="L430">
        <v>326.81</v>
      </c>
      <c r="M430" t="s">
        <v>76</v>
      </c>
      <c r="N430" t="s">
        <v>78</v>
      </c>
    </row>
    <row r="431" spans="1:14" x14ac:dyDescent="0.3">
      <c r="A431">
        <v>2430</v>
      </c>
      <c r="B431" s="4">
        <v>45210</v>
      </c>
      <c r="C431">
        <v>2023</v>
      </c>
      <c r="D431" t="s">
        <v>23</v>
      </c>
      <c r="E431" t="s">
        <v>43</v>
      </c>
      <c r="F431" t="s">
        <v>64</v>
      </c>
      <c r="G431" t="s">
        <v>70</v>
      </c>
      <c r="H431">
        <v>20</v>
      </c>
      <c r="I431">
        <v>34.6</v>
      </c>
      <c r="J431">
        <v>692</v>
      </c>
      <c r="K431">
        <v>29.18</v>
      </c>
      <c r="L431">
        <v>108.4</v>
      </c>
      <c r="M431" t="s">
        <v>74</v>
      </c>
      <c r="N431" t="s">
        <v>78</v>
      </c>
    </row>
    <row r="432" spans="1:14" x14ac:dyDescent="0.3">
      <c r="A432">
        <v>2431</v>
      </c>
      <c r="B432" s="4">
        <v>45374</v>
      </c>
      <c r="C432">
        <v>2024</v>
      </c>
      <c r="D432" t="s">
        <v>17</v>
      </c>
      <c r="E432" t="s">
        <v>34</v>
      </c>
      <c r="F432" t="s">
        <v>61</v>
      </c>
      <c r="G432" t="s">
        <v>68</v>
      </c>
      <c r="H432">
        <v>18</v>
      </c>
      <c r="I432">
        <v>39</v>
      </c>
      <c r="J432">
        <v>702</v>
      </c>
      <c r="K432">
        <v>26.6</v>
      </c>
      <c r="L432">
        <v>223.2</v>
      </c>
      <c r="M432" t="s">
        <v>76</v>
      </c>
      <c r="N432" t="s">
        <v>80</v>
      </c>
    </row>
    <row r="433" spans="1:14" x14ac:dyDescent="0.3">
      <c r="A433">
        <v>2432</v>
      </c>
      <c r="B433" s="4">
        <v>45585</v>
      </c>
      <c r="C433">
        <v>2024</v>
      </c>
      <c r="D433" t="s">
        <v>17</v>
      </c>
      <c r="E433" t="s">
        <v>34</v>
      </c>
      <c r="F433" t="s">
        <v>44</v>
      </c>
      <c r="G433" t="s">
        <v>68</v>
      </c>
      <c r="H433">
        <v>4</v>
      </c>
      <c r="I433">
        <v>72.81</v>
      </c>
      <c r="J433">
        <v>291.24</v>
      </c>
      <c r="K433">
        <v>45.37</v>
      </c>
      <c r="L433">
        <v>109.76</v>
      </c>
      <c r="M433" t="s">
        <v>74</v>
      </c>
      <c r="N433" t="s">
        <v>80</v>
      </c>
    </row>
    <row r="434" spans="1:14" x14ac:dyDescent="0.3">
      <c r="A434">
        <v>2433</v>
      </c>
      <c r="B434" s="4">
        <v>44938</v>
      </c>
      <c r="C434">
        <v>2023</v>
      </c>
      <c r="D434" t="s">
        <v>16</v>
      </c>
      <c r="E434" t="s">
        <v>35</v>
      </c>
      <c r="F434" t="s">
        <v>59</v>
      </c>
      <c r="G434" t="s">
        <v>69</v>
      </c>
      <c r="H434">
        <v>7</v>
      </c>
      <c r="I434">
        <v>40.799999999999997</v>
      </c>
      <c r="J434">
        <v>285.60000000000002</v>
      </c>
      <c r="K434">
        <v>31.65</v>
      </c>
      <c r="L434">
        <v>64.05</v>
      </c>
      <c r="M434" t="s">
        <v>76</v>
      </c>
      <c r="N434" t="s">
        <v>78</v>
      </c>
    </row>
    <row r="435" spans="1:14" x14ac:dyDescent="0.3">
      <c r="A435">
        <v>2434</v>
      </c>
      <c r="B435" s="4">
        <v>44701</v>
      </c>
      <c r="C435">
        <v>2022</v>
      </c>
      <c r="D435" t="s">
        <v>17</v>
      </c>
      <c r="E435" t="s">
        <v>34</v>
      </c>
      <c r="F435" t="s">
        <v>61</v>
      </c>
      <c r="G435" t="s">
        <v>68</v>
      </c>
      <c r="H435">
        <v>7</v>
      </c>
      <c r="I435">
        <v>56.47</v>
      </c>
      <c r="J435">
        <v>395.29</v>
      </c>
      <c r="K435">
        <v>37.229999999999997</v>
      </c>
      <c r="L435">
        <v>134.68</v>
      </c>
      <c r="M435" t="s">
        <v>76</v>
      </c>
      <c r="N435" t="s">
        <v>80</v>
      </c>
    </row>
    <row r="436" spans="1:14" x14ac:dyDescent="0.3">
      <c r="A436">
        <v>2435</v>
      </c>
      <c r="B436" s="4">
        <v>45364</v>
      </c>
      <c r="C436">
        <v>2024</v>
      </c>
      <c r="D436" t="s">
        <v>23</v>
      </c>
      <c r="E436" t="s">
        <v>37</v>
      </c>
      <c r="F436" t="s">
        <v>57</v>
      </c>
      <c r="G436" t="s">
        <v>73</v>
      </c>
      <c r="H436">
        <v>9</v>
      </c>
      <c r="I436">
        <v>131.74</v>
      </c>
      <c r="J436">
        <v>1185.6600000000001</v>
      </c>
      <c r="K436">
        <v>108.56</v>
      </c>
      <c r="L436">
        <v>208.62</v>
      </c>
      <c r="M436" t="s">
        <v>75</v>
      </c>
      <c r="N436" t="s">
        <v>79</v>
      </c>
    </row>
    <row r="437" spans="1:14" x14ac:dyDescent="0.3">
      <c r="A437">
        <v>2436</v>
      </c>
      <c r="B437" s="4">
        <v>45385</v>
      </c>
      <c r="C437">
        <v>2024</v>
      </c>
      <c r="D437" t="s">
        <v>15</v>
      </c>
      <c r="E437" t="s">
        <v>28</v>
      </c>
      <c r="F437" t="s">
        <v>49</v>
      </c>
      <c r="G437" t="s">
        <v>72</v>
      </c>
      <c r="H437">
        <v>18</v>
      </c>
      <c r="I437">
        <v>147.02000000000001</v>
      </c>
      <c r="J437">
        <v>2646.36</v>
      </c>
      <c r="K437">
        <v>99.01</v>
      </c>
      <c r="L437">
        <v>864.18</v>
      </c>
      <c r="M437" t="s">
        <v>76</v>
      </c>
      <c r="N437" t="s">
        <v>79</v>
      </c>
    </row>
    <row r="438" spans="1:14" x14ac:dyDescent="0.3">
      <c r="A438">
        <v>2437</v>
      </c>
      <c r="B438" s="4">
        <v>45413</v>
      </c>
      <c r="C438">
        <v>2024</v>
      </c>
      <c r="D438" t="s">
        <v>15</v>
      </c>
      <c r="E438" t="s">
        <v>25</v>
      </c>
      <c r="F438" t="s">
        <v>53</v>
      </c>
      <c r="G438" t="s">
        <v>69</v>
      </c>
      <c r="H438">
        <v>20</v>
      </c>
      <c r="I438">
        <v>43.27</v>
      </c>
      <c r="J438">
        <v>865.4</v>
      </c>
      <c r="K438">
        <v>28.74</v>
      </c>
      <c r="L438">
        <v>290.60000000000002</v>
      </c>
      <c r="M438" t="s">
        <v>75</v>
      </c>
      <c r="N438" t="s">
        <v>79</v>
      </c>
    </row>
    <row r="439" spans="1:14" x14ac:dyDescent="0.3">
      <c r="A439">
        <v>2438</v>
      </c>
      <c r="B439" s="4">
        <v>44866</v>
      </c>
      <c r="C439">
        <v>2022</v>
      </c>
      <c r="D439" t="s">
        <v>18</v>
      </c>
      <c r="E439" t="s">
        <v>29</v>
      </c>
      <c r="F439" t="s">
        <v>67</v>
      </c>
      <c r="G439" t="s">
        <v>71</v>
      </c>
      <c r="H439">
        <v>19</v>
      </c>
      <c r="I439">
        <v>166.05</v>
      </c>
      <c r="J439">
        <v>3154.95</v>
      </c>
      <c r="K439">
        <v>119.01</v>
      </c>
      <c r="L439">
        <v>893.76</v>
      </c>
      <c r="M439" t="s">
        <v>75</v>
      </c>
      <c r="N439" t="s">
        <v>79</v>
      </c>
    </row>
    <row r="440" spans="1:14" x14ac:dyDescent="0.3">
      <c r="A440">
        <v>2439</v>
      </c>
      <c r="B440" s="4">
        <v>45574</v>
      </c>
      <c r="C440">
        <v>2024</v>
      </c>
      <c r="D440" t="s">
        <v>17</v>
      </c>
      <c r="E440" t="s">
        <v>34</v>
      </c>
      <c r="F440" t="s">
        <v>45</v>
      </c>
      <c r="G440" t="s">
        <v>69</v>
      </c>
      <c r="H440">
        <v>3</v>
      </c>
      <c r="I440">
        <v>64.63</v>
      </c>
      <c r="J440">
        <v>193.89</v>
      </c>
      <c r="K440">
        <v>54.37</v>
      </c>
      <c r="L440">
        <v>30.78</v>
      </c>
      <c r="M440" t="s">
        <v>75</v>
      </c>
      <c r="N440" t="s">
        <v>77</v>
      </c>
    </row>
    <row r="441" spans="1:14" x14ac:dyDescent="0.3">
      <c r="A441">
        <v>2440</v>
      </c>
      <c r="B441" s="4">
        <v>45142</v>
      </c>
      <c r="C441">
        <v>2023</v>
      </c>
      <c r="D441" t="s">
        <v>21</v>
      </c>
      <c r="E441" t="s">
        <v>33</v>
      </c>
      <c r="F441" t="s">
        <v>47</v>
      </c>
      <c r="G441" t="s">
        <v>71</v>
      </c>
      <c r="H441">
        <v>5</v>
      </c>
      <c r="I441">
        <v>171.43</v>
      </c>
      <c r="J441">
        <v>857.15</v>
      </c>
      <c r="K441">
        <v>151.97</v>
      </c>
      <c r="L441">
        <v>97.3</v>
      </c>
      <c r="M441" t="s">
        <v>75</v>
      </c>
      <c r="N441" t="s">
        <v>78</v>
      </c>
    </row>
    <row r="442" spans="1:14" x14ac:dyDescent="0.3">
      <c r="A442">
        <v>2441</v>
      </c>
      <c r="B442" s="4">
        <v>44789</v>
      </c>
      <c r="C442">
        <v>2022</v>
      </c>
      <c r="D442" t="s">
        <v>19</v>
      </c>
      <c r="E442" t="s">
        <v>39</v>
      </c>
      <c r="F442" t="s">
        <v>52</v>
      </c>
      <c r="G442" t="s">
        <v>71</v>
      </c>
      <c r="H442">
        <v>7</v>
      </c>
      <c r="I442">
        <v>146.9</v>
      </c>
      <c r="J442">
        <v>1028.3</v>
      </c>
      <c r="K442">
        <v>113.45</v>
      </c>
      <c r="L442">
        <v>234.15</v>
      </c>
      <c r="M442" t="s">
        <v>76</v>
      </c>
      <c r="N442" t="s">
        <v>79</v>
      </c>
    </row>
    <row r="443" spans="1:14" x14ac:dyDescent="0.3">
      <c r="A443">
        <v>2442</v>
      </c>
      <c r="B443" s="4">
        <v>45304</v>
      </c>
      <c r="C443">
        <v>2024</v>
      </c>
      <c r="D443" t="s">
        <v>14</v>
      </c>
      <c r="E443" t="s">
        <v>24</v>
      </c>
      <c r="F443" t="s">
        <v>48</v>
      </c>
      <c r="G443" t="s">
        <v>68</v>
      </c>
      <c r="H443">
        <v>9</v>
      </c>
      <c r="I443">
        <v>132.71</v>
      </c>
      <c r="J443">
        <v>1194.3900000000001</v>
      </c>
      <c r="K443">
        <v>88.28</v>
      </c>
      <c r="L443">
        <v>399.87</v>
      </c>
      <c r="M443" t="s">
        <v>74</v>
      </c>
      <c r="N443" t="s">
        <v>78</v>
      </c>
    </row>
    <row r="444" spans="1:14" x14ac:dyDescent="0.3">
      <c r="A444">
        <v>2443</v>
      </c>
      <c r="B444" s="4">
        <v>45142</v>
      </c>
      <c r="C444">
        <v>2023</v>
      </c>
      <c r="D444" t="s">
        <v>23</v>
      </c>
      <c r="E444" t="s">
        <v>43</v>
      </c>
      <c r="F444" t="s">
        <v>62</v>
      </c>
      <c r="G444" t="s">
        <v>72</v>
      </c>
      <c r="H444">
        <v>18</v>
      </c>
      <c r="I444">
        <v>66.86</v>
      </c>
      <c r="J444">
        <v>1203.48</v>
      </c>
      <c r="K444">
        <v>49.45</v>
      </c>
      <c r="L444">
        <v>313.38</v>
      </c>
      <c r="M444" t="s">
        <v>75</v>
      </c>
      <c r="N444" t="s">
        <v>78</v>
      </c>
    </row>
    <row r="445" spans="1:14" x14ac:dyDescent="0.3">
      <c r="A445">
        <v>2444</v>
      </c>
      <c r="B445" s="4">
        <v>45099</v>
      </c>
      <c r="C445">
        <v>2023</v>
      </c>
      <c r="D445" t="s">
        <v>19</v>
      </c>
      <c r="E445" t="s">
        <v>31</v>
      </c>
      <c r="F445" t="s">
        <v>62</v>
      </c>
      <c r="G445" t="s">
        <v>72</v>
      </c>
      <c r="H445">
        <v>8</v>
      </c>
      <c r="I445">
        <v>180.15</v>
      </c>
      <c r="J445">
        <v>1441.2</v>
      </c>
      <c r="K445">
        <v>161.72999999999999</v>
      </c>
      <c r="L445">
        <v>147.36000000000001</v>
      </c>
      <c r="M445" t="s">
        <v>76</v>
      </c>
      <c r="N445" t="s">
        <v>78</v>
      </c>
    </row>
    <row r="446" spans="1:14" x14ac:dyDescent="0.3">
      <c r="A446">
        <v>2445</v>
      </c>
      <c r="B446" s="4">
        <v>44881</v>
      </c>
      <c r="C446">
        <v>2022</v>
      </c>
      <c r="D446" t="s">
        <v>15</v>
      </c>
      <c r="E446" t="s">
        <v>28</v>
      </c>
      <c r="F446" t="s">
        <v>48</v>
      </c>
      <c r="G446" t="s">
        <v>68</v>
      </c>
      <c r="H446">
        <v>10</v>
      </c>
      <c r="I446">
        <v>122.11</v>
      </c>
      <c r="J446">
        <v>1221.0999999999999</v>
      </c>
      <c r="K446">
        <v>95.64</v>
      </c>
      <c r="L446">
        <v>264.7</v>
      </c>
      <c r="M446" t="s">
        <v>74</v>
      </c>
      <c r="N446" t="s">
        <v>77</v>
      </c>
    </row>
    <row r="447" spans="1:14" x14ac:dyDescent="0.3">
      <c r="A447">
        <v>2446</v>
      </c>
      <c r="B447" s="4">
        <v>44947</v>
      </c>
      <c r="C447">
        <v>2023</v>
      </c>
      <c r="D447" t="s">
        <v>20</v>
      </c>
      <c r="E447" t="s">
        <v>32</v>
      </c>
      <c r="F447" t="s">
        <v>57</v>
      </c>
      <c r="G447" t="s">
        <v>73</v>
      </c>
      <c r="H447">
        <v>12</v>
      </c>
      <c r="I447">
        <v>105.86</v>
      </c>
      <c r="J447">
        <v>1270.32</v>
      </c>
      <c r="K447">
        <v>90.76</v>
      </c>
      <c r="L447">
        <v>181.2</v>
      </c>
      <c r="M447" t="s">
        <v>76</v>
      </c>
      <c r="N447" t="s">
        <v>79</v>
      </c>
    </row>
    <row r="448" spans="1:14" x14ac:dyDescent="0.3">
      <c r="A448">
        <v>2447</v>
      </c>
      <c r="B448" s="4">
        <v>45261</v>
      </c>
      <c r="C448">
        <v>2023</v>
      </c>
      <c r="D448" t="s">
        <v>17</v>
      </c>
      <c r="E448" t="s">
        <v>34</v>
      </c>
      <c r="F448" t="s">
        <v>52</v>
      </c>
      <c r="G448" t="s">
        <v>71</v>
      </c>
      <c r="H448">
        <v>10</v>
      </c>
      <c r="I448">
        <v>190.06</v>
      </c>
      <c r="J448">
        <v>1900.6</v>
      </c>
      <c r="K448">
        <v>133.82</v>
      </c>
      <c r="L448">
        <v>562.4</v>
      </c>
      <c r="M448" t="s">
        <v>74</v>
      </c>
      <c r="N448" t="s">
        <v>80</v>
      </c>
    </row>
    <row r="449" spans="1:14" x14ac:dyDescent="0.3">
      <c r="A449">
        <v>2448</v>
      </c>
      <c r="B449" s="4">
        <v>44881</v>
      </c>
      <c r="C449">
        <v>2022</v>
      </c>
      <c r="D449" t="s">
        <v>20</v>
      </c>
      <c r="E449" t="s">
        <v>40</v>
      </c>
      <c r="F449" t="s">
        <v>51</v>
      </c>
      <c r="G449" t="s">
        <v>69</v>
      </c>
      <c r="H449">
        <v>14</v>
      </c>
      <c r="I449">
        <v>189.33</v>
      </c>
      <c r="J449">
        <v>2650.62</v>
      </c>
      <c r="K449">
        <v>114.08</v>
      </c>
      <c r="L449">
        <v>1053.5</v>
      </c>
      <c r="M449" t="s">
        <v>76</v>
      </c>
      <c r="N449" t="s">
        <v>77</v>
      </c>
    </row>
    <row r="450" spans="1:14" x14ac:dyDescent="0.3">
      <c r="A450">
        <v>2449</v>
      </c>
      <c r="B450" s="4">
        <v>45024</v>
      </c>
      <c r="C450">
        <v>2023</v>
      </c>
      <c r="D450" t="s">
        <v>18</v>
      </c>
      <c r="E450" t="s">
        <v>29</v>
      </c>
      <c r="F450" t="s">
        <v>46</v>
      </c>
      <c r="G450" t="s">
        <v>70</v>
      </c>
      <c r="H450">
        <v>14</v>
      </c>
      <c r="I450">
        <v>71.67</v>
      </c>
      <c r="J450">
        <v>1003.38</v>
      </c>
      <c r="K450">
        <v>48.26</v>
      </c>
      <c r="L450">
        <v>327.74</v>
      </c>
      <c r="M450" t="s">
        <v>76</v>
      </c>
      <c r="N450" t="s">
        <v>79</v>
      </c>
    </row>
    <row r="451" spans="1:14" x14ac:dyDescent="0.3">
      <c r="A451">
        <v>2450</v>
      </c>
      <c r="B451" s="4">
        <v>45070</v>
      </c>
      <c r="C451">
        <v>2023</v>
      </c>
      <c r="D451" t="s">
        <v>15</v>
      </c>
      <c r="E451" t="s">
        <v>28</v>
      </c>
      <c r="F451" t="s">
        <v>63</v>
      </c>
      <c r="G451" t="s">
        <v>70</v>
      </c>
      <c r="H451">
        <v>13</v>
      </c>
      <c r="I451">
        <v>113.83</v>
      </c>
      <c r="J451">
        <v>1479.79</v>
      </c>
      <c r="K451">
        <v>94.96</v>
      </c>
      <c r="L451">
        <v>245.31</v>
      </c>
      <c r="M451" t="s">
        <v>75</v>
      </c>
      <c r="N451" t="s">
        <v>77</v>
      </c>
    </row>
    <row r="452" spans="1:14" x14ac:dyDescent="0.3">
      <c r="A452">
        <v>2451</v>
      </c>
      <c r="B452" s="4">
        <v>44798</v>
      </c>
      <c r="C452">
        <v>2022</v>
      </c>
      <c r="D452" t="s">
        <v>23</v>
      </c>
      <c r="E452" t="s">
        <v>43</v>
      </c>
      <c r="F452" t="s">
        <v>50</v>
      </c>
      <c r="G452" t="s">
        <v>73</v>
      </c>
      <c r="H452">
        <v>13</v>
      </c>
      <c r="I452">
        <v>40.72</v>
      </c>
      <c r="J452">
        <v>529.36</v>
      </c>
      <c r="K452">
        <v>28.8</v>
      </c>
      <c r="L452">
        <v>154.96</v>
      </c>
      <c r="M452" t="s">
        <v>76</v>
      </c>
      <c r="N452" t="s">
        <v>78</v>
      </c>
    </row>
    <row r="453" spans="1:14" x14ac:dyDescent="0.3">
      <c r="A453">
        <v>2452</v>
      </c>
      <c r="B453" s="4">
        <v>45155</v>
      </c>
      <c r="C453">
        <v>2023</v>
      </c>
      <c r="D453" t="s">
        <v>17</v>
      </c>
      <c r="E453" t="s">
        <v>27</v>
      </c>
      <c r="F453" t="s">
        <v>66</v>
      </c>
      <c r="G453" t="s">
        <v>72</v>
      </c>
      <c r="H453">
        <v>1</v>
      </c>
      <c r="I453">
        <v>126.69</v>
      </c>
      <c r="J453">
        <v>126.69</v>
      </c>
      <c r="K453">
        <v>104.82</v>
      </c>
      <c r="L453">
        <v>21.87</v>
      </c>
      <c r="M453" t="s">
        <v>76</v>
      </c>
      <c r="N453" t="s">
        <v>78</v>
      </c>
    </row>
    <row r="454" spans="1:14" x14ac:dyDescent="0.3">
      <c r="A454">
        <v>2453</v>
      </c>
      <c r="B454" s="4">
        <v>44577</v>
      </c>
      <c r="C454">
        <v>2022</v>
      </c>
      <c r="D454" t="s">
        <v>22</v>
      </c>
      <c r="E454" t="s">
        <v>36</v>
      </c>
      <c r="F454" t="s">
        <v>44</v>
      </c>
      <c r="G454" t="s">
        <v>68</v>
      </c>
      <c r="H454">
        <v>6</v>
      </c>
      <c r="I454">
        <v>130.34</v>
      </c>
      <c r="J454">
        <v>782.04</v>
      </c>
      <c r="K454">
        <v>78.849999999999994</v>
      </c>
      <c r="L454">
        <v>308.94</v>
      </c>
      <c r="M454" t="s">
        <v>76</v>
      </c>
      <c r="N454" t="s">
        <v>79</v>
      </c>
    </row>
    <row r="455" spans="1:14" x14ac:dyDescent="0.3">
      <c r="A455">
        <v>2454</v>
      </c>
      <c r="B455" s="4">
        <v>44888</v>
      </c>
      <c r="C455">
        <v>2022</v>
      </c>
      <c r="D455" t="s">
        <v>18</v>
      </c>
      <c r="E455" t="s">
        <v>29</v>
      </c>
      <c r="F455" t="s">
        <v>60</v>
      </c>
      <c r="G455" t="s">
        <v>73</v>
      </c>
      <c r="H455">
        <v>17</v>
      </c>
      <c r="I455">
        <v>189.24</v>
      </c>
      <c r="J455">
        <v>3217.08</v>
      </c>
      <c r="K455">
        <v>154.34</v>
      </c>
      <c r="L455">
        <v>593.29999999999995</v>
      </c>
      <c r="M455" t="s">
        <v>76</v>
      </c>
      <c r="N455" t="s">
        <v>77</v>
      </c>
    </row>
    <row r="456" spans="1:14" x14ac:dyDescent="0.3">
      <c r="A456">
        <v>2455</v>
      </c>
      <c r="B456" s="4">
        <v>45573</v>
      </c>
      <c r="C456">
        <v>2024</v>
      </c>
      <c r="D456" t="s">
        <v>21</v>
      </c>
      <c r="E456" t="s">
        <v>41</v>
      </c>
      <c r="F456" t="s">
        <v>61</v>
      </c>
      <c r="G456" t="s">
        <v>68</v>
      </c>
      <c r="H456">
        <v>16</v>
      </c>
      <c r="I456">
        <v>36.700000000000003</v>
      </c>
      <c r="J456">
        <v>587.20000000000005</v>
      </c>
      <c r="K456">
        <v>29.41</v>
      </c>
      <c r="L456">
        <v>116.64</v>
      </c>
      <c r="M456" t="s">
        <v>74</v>
      </c>
      <c r="N456" t="s">
        <v>79</v>
      </c>
    </row>
    <row r="457" spans="1:14" x14ac:dyDescent="0.3">
      <c r="A457">
        <v>2456</v>
      </c>
      <c r="B457" s="4">
        <v>45340</v>
      </c>
      <c r="C457">
        <v>2024</v>
      </c>
      <c r="D457" t="s">
        <v>21</v>
      </c>
      <c r="E457" t="s">
        <v>33</v>
      </c>
      <c r="F457" t="s">
        <v>46</v>
      </c>
      <c r="G457" t="s">
        <v>70</v>
      </c>
      <c r="H457">
        <v>4</v>
      </c>
      <c r="I457">
        <v>25.69</v>
      </c>
      <c r="J457">
        <v>102.76</v>
      </c>
      <c r="K457">
        <v>22.49</v>
      </c>
      <c r="L457">
        <v>12.8</v>
      </c>
      <c r="M457" t="s">
        <v>74</v>
      </c>
      <c r="N457" t="s">
        <v>79</v>
      </c>
    </row>
    <row r="458" spans="1:14" x14ac:dyDescent="0.3">
      <c r="A458">
        <v>2457</v>
      </c>
      <c r="B458" s="4">
        <v>44832</v>
      </c>
      <c r="C458">
        <v>2022</v>
      </c>
      <c r="D458" t="s">
        <v>17</v>
      </c>
      <c r="E458" t="s">
        <v>34</v>
      </c>
      <c r="F458" t="s">
        <v>45</v>
      </c>
      <c r="G458" t="s">
        <v>69</v>
      </c>
      <c r="H458">
        <v>16</v>
      </c>
      <c r="I458">
        <v>63.05</v>
      </c>
      <c r="J458">
        <v>1008.8</v>
      </c>
      <c r="K458">
        <v>44.21</v>
      </c>
      <c r="L458">
        <v>301.44</v>
      </c>
      <c r="M458" t="s">
        <v>74</v>
      </c>
      <c r="N458" t="s">
        <v>79</v>
      </c>
    </row>
    <row r="459" spans="1:14" x14ac:dyDescent="0.3">
      <c r="A459">
        <v>2458</v>
      </c>
      <c r="B459" s="4">
        <v>44908</v>
      </c>
      <c r="C459">
        <v>2022</v>
      </c>
      <c r="D459" t="s">
        <v>19</v>
      </c>
      <c r="E459" t="s">
        <v>31</v>
      </c>
      <c r="F459" t="s">
        <v>47</v>
      </c>
      <c r="G459" t="s">
        <v>71</v>
      </c>
      <c r="H459">
        <v>19</v>
      </c>
      <c r="I459">
        <v>43.62</v>
      </c>
      <c r="J459">
        <v>828.78</v>
      </c>
      <c r="K459">
        <v>28.95</v>
      </c>
      <c r="L459">
        <v>278.73</v>
      </c>
      <c r="M459" t="s">
        <v>75</v>
      </c>
      <c r="N459" t="s">
        <v>80</v>
      </c>
    </row>
    <row r="460" spans="1:14" x14ac:dyDescent="0.3">
      <c r="A460">
        <v>2459</v>
      </c>
      <c r="B460" s="4">
        <v>45604</v>
      </c>
      <c r="C460">
        <v>2024</v>
      </c>
      <c r="D460" t="s">
        <v>21</v>
      </c>
      <c r="E460" t="s">
        <v>33</v>
      </c>
      <c r="F460" t="s">
        <v>45</v>
      </c>
      <c r="G460" t="s">
        <v>69</v>
      </c>
      <c r="H460">
        <v>19</v>
      </c>
      <c r="I460">
        <v>141.97999999999999</v>
      </c>
      <c r="J460">
        <v>2697.62</v>
      </c>
      <c r="K460">
        <v>117.36</v>
      </c>
      <c r="L460">
        <v>467.78</v>
      </c>
      <c r="M460" t="s">
        <v>76</v>
      </c>
      <c r="N460" t="s">
        <v>77</v>
      </c>
    </row>
    <row r="461" spans="1:14" x14ac:dyDescent="0.3">
      <c r="A461">
        <v>2460</v>
      </c>
      <c r="B461" s="4">
        <v>44641</v>
      </c>
      <c r="C461">
        <v>2022</v>
      </c>
      <c r="D461" t="s">
        <v>17</v>
      </c>
      <c r="E461" t="s">
        <v>27</v>
      </c>
      <c r="F461" t="s">
        <v>54</v>
      </c>
      <c r="G461" t="s">
        <v>72</v>
      </c>
      <c r="H461">
        <v>3</v>
      </c>
      <c r="I461">
        <v>112.26</v>
      </c>
      <c r="J461">
        <v>336.78</v>
      </c>
      <c r="K461">
        <v>75.709999999999994</v>
      </c>
      <c r="L461">
        <v>109.65</v>
      </c>
      <c r="M461" t="s">
        <v>76</v>
      </c>
      <c r="N461" t="s">
        <v>77</v>
      </c>
    </row>
    <row r="462" spans="1:14" x14ac:dyDescent="0.3">
      <c r="A462">
        <v>2461</v>
      </c>
      <c r="B462" s="4">
        <v>44921</v>
      </c>
      <c r="C462">
        <v>2022</v>
      </c>
      <c r="D462" t="s">
        <v>23</v>
      </c>
      <c r="E462" t="s">
        <v>37</v>
      </c>
      <c r="F462" t="s">
        <v>50</v>
      </c>
      <c r="G462" t="s">
        <v>73</v>
      </c>
      <c r="H462">
        <v>20</v>
      </c>
      <c r="I462">
        <v>55.12</v>
      </c>
      <c r="J462">
        <v>1102.4000000000001</v>
      </c>
      <c r="K462">
        <v>39.85</v>
      </c>
      <c r="L462">
        <v>305.39999999999998</v>
      </c>
      <c r="M462" t="s">
        <v>75</v>
      </c>
      <c r="N462" t="s">
        <v>78</v>
      </c>
    </row>
    <row r="463" spans="1:14" x14ac:dyDescent="0.3">
      <c r="A463">
        <v>2462</v>
      </c>
      <c r="B463" s="4">
        <v>45005</v>
      </c>
      <c r="C463">
        <v>2023</v>
      </c>
      <c r="D463" t="s">
        <v>20</v>
      </c>
      <c r="E463" t="s">
        <v>32</v>
      </c>
      <c r="F463" t="s">
        <v>64</v>
      </c>
      <c r="G463" t="s">
        <v>70</v>
      </c>
      <c r="H463">
        <v>14</v>
      </c>
      <c r="I463">
        <v>76.59</v>
      </c>
      <c r="J463">
        <v>1072.26</v>
      </c>
      <c r="K463">
        <v>51.44</v>
      </c>
      <c r="L463">
        <v>352.1</v>
      </c>
      <c r="M463" t="s">
        <v>75</v>
      </c>
      <c r="N463" t="s">
        <v>78</v>
      </c>
    </row>
    <row r="464" spans="1:14" x14ac:dyDescent="0.3">
      <c r="A464">
        <v>2463</v>
      </c>
      <c r="B464" s="4">
        <v>45284</v>
      </c>
      <c r="C464">
        <v>2023</v>
      </c>
      <c r="D464" t="s">
        <v>17</v>
      </c>
      <c r="E464" t="s">
        <v>34</v>
      </c>
      <c r="F464" t="s">
        <v>63</v>
      </c>
      <c r="G464" t="s">
        <v>70</v>
      </c>
      <c r="H464">
        <v>19</v>
      </c>
      <c r="I464">
        <v>195.7</v>
      </c>
      <c r="J464">
        <v>3718.3</v>
      </c>
      <c r="K464">
        <v>155.79</v>
      </c>
      <c r="L464">
        <v>758.29</v>
      </c>
      <c r="M464" t="s">
        <v>75</v>
      </c>
      <c r="N464" t="s">
        <v>79</v>
      </c>
    </row>
    <row r="465" spans="1:14" x14ac:dyDescent="0.3">
      <c r="A465">
        <v>2464</v>
      </c>
      <c r="B465" s="4">
        <v>45562</v>
      </c>
      <c r="C465">
        <v>2024</v>
      </c>
      <c r="D465" t="s">
        <v>15</v>
      </c>
      <c r="E465" t="s">
        <v>28</v>
      </c>
      <c r="F465" t="s">
        <v>49</v>
      </c>
      <c r="G465" t="s">
        <v>72</v>
      </c>
      <c r="H465">
        <v>8</v>
      </c>
      <c r="I465">
        <v>142.1</v>
      </c>
      <c r="J465">
        <v>1136.8</v>
      </c>
      <c r="K465">
        <v>85.8</v>
      </c>
      <c r="L465">
        <v>450.4</v>
      </c>
      <c r="M465" t="s">
        <v>76</v>
      </c>
      <c r="N465" t="s">
        <v>79</v>
      </c>
    </row>
    <row r="466" spans="1:14" x14ac:dyDescent="0.3">
      <c r="A466">
        <v>2465</v>
      </c>
      <c r="B466" s="4">
        <v>44626</v>
      </c>
      <c r="C466">
        <v>2022</v>
      </c>
      <c r="D466" t="s">
        <v>21</v>
      </c>
      <c r="E466" t="s">
        <v>41</v>
      </c>
      <c r="F466" t="s">
        <v>58</v>
      </c>
      <c r="G466" t="s">
        <v>68</v>
      </c>
      <c r="H466">
        <v>8</v>
      </c>
      <c r="I466">
        <v>66.2</v>
      </c>
      <c r="J466">
        <v>529.6</v>
      </c>
      <c r="K466">
        <v>45.89</v>
      </c>
      <c r="L466">
        <v>162.47999999999999</v>
      </c>
      <c r="M466" t="s">
        <v>76</v>
      </c>
      <c r="N466" t="s">
        <v>80</v>
      </c>
    </row>
    <row r="467" spans="1:14" x14ac:dyDescent="0.3">
      <c r="A467">
        <v>2466</v>
      </c>
      <c r="B467" s="4">
        <v>44846</v>
      </c>
      <c r="C467">
        <v>2022</v>
      </c>
      <c r="D467" t="s">
        <v>21</v>
      </c>
      <c r="E467" t="s">
        <v>33</v>
      </c>
      <c r="F467" t="s">
        <v>46</v>
      </c>
      <c r="G467" t="s">
        <v>70</v>
      </c>
      <c r="H467">
        <v>1</v>
      </c>
      <c r="I467">
        <v>54.71</v>
      </c>
      <c r="J467">
        <v>54.71</v>
      </c>
      <c r="K467">
        <v>44.47</v>
      </c>
      <c r="L467">
        <v>10.24</v>
      </c>
      <c r="M467" t="s">
        <v>74</v>
      </c>
      <c r="N467" t="s">
        <v>77</v>
      </c>
    </row>
    <row r="468" spans="1:14" x14ac:dyDescent="0.3">
      <c r="A468">
        <v>2467</v>
      </c>
      <c r="B468" s="4">
        <v>45306</v>
      </c>
      <c r="C468">
        <v>2024</v>
      </c>
      <c r="D468" t="s">
        <v>23</v>
      </c>
      <c r="E468" t="s">
        <v>43</v>
      </c>
      <c r="F468" t="s">
        <v>53</v>
      </c>
      <c r="G468" t="s">
        <v>69</v>
      </c>
      <c r="H468">
        <v>12</v>
      </c>
      <c r="I468">
        <v>124.19</v>
      </c>
      <c r="J468">
        <v>1490.28</v>
      </c>
      <c r="K468">
        <v>77.540000000000006</v>
      </c>
      <c r="L468">
        <v>559.79999999999995</v>
      </c>
      <c r="M468" t="s">
        <v>75</v>
      </c>
      <c r="N468" t="s">
        <v>80</v>
      </c>
    </row>
    <row r="469" spans="1:14" x14ac:dyDescent="0.3">
      <c r="A469">
        <v>2468</v>
      </c>
      <c r="B469" s="4">
        <v>45581</v>
      </c>
      <c r="C469">
        <v>2024</v>
      </c>
      <c r="D469" t="s">
        <v>21</v>
      </c>
      <c r="E469" t="s">
        <v>41</v>
      </c>
      <c r="F469" t="s">
        <v>61</v>
      </c>
      <c r="G469" t="s">
        <v>68</v>
      </c>
      <c r="H469">
        <v>4</v>
      </c>
      <c r="I469">
        <v>155.74</v>
      </c>
      <c r="J469">
        <v>622.96</v>
      </c>
      <c r="K469">
        <v>119.12</v>
      </c>
      <c r="L469">
        <v>146.47999999999999</v>
      </c>
      <c r="M469" t="s">
        <v>74</v>
      </c>
      <c r="N469" t="s">
        <v>80</v>
      </c>
    </row>
    <row r="470" spans="1:14" x14ac:dyDescent="0.3">
      <c r="A470">
        <v>2469</v>
      </c>
      <c r="B470" s="4">
        <v>45461</v>
      </c>
      <c r="C470">
        <v>2024</v>
      </c>
      <c r="D470" t="s">
        <v>23</v>
      </c>
      <c r="E470" t="s">
        <v>43</v>
      </c>
      <c r="F470" t="s">
        <v>57</v>
      </c>
      <c r="G470" t="s">
        <v>73</v>
      </c>
      <c r="H470">
        <v>15</v>
      </c>
      <c r="I470">
        <v>109.42</v>
      </c>
      <c r="J470">
        <v>1641.3</v>
      </c>
      <c r="K470">
        <v>75.400000000000006</v>
      </c>
      <c r="L470">
        <v>510.3</v>
      </c>
      <c r="M470" t="s">
        <v>75</v>
      </c>
      <c r="N470" t="s">
        <v>78</v>
      </c>
    </row>
    <row r="471" spans="1:14" x14ac:dyDescent="0.3">
      <c r="A471">
        <v>2470</v>
      </c>
      <c r="B471" s="4">
        <v>44851</v>
      </c>
      <c r="C471">
        <v>2022</v>
      </c>
      <c r="D471" t="s">
        <v>17</v>
      </c>
      <c r="E471" t="s">
        <v>27</v>
      </c>
      <c r="F471" t="s">
        <v>67</v>
      </c>
      <c r="G471" t="s">
        <v>71</v>
      </c>
      <c r="H471">
        <v>8</v>
      </c>
      <c r="I471">
        <v>179.24</v>
      </c>
      <c r="J471">
        <v>1433.92</v>
      </c>
      <c r="K471">
        <v>116.77</v>
      </c>
      <c r="L471">
        <v>499.76</v>
      </c>
      <c r="M471" t="s">
        <v>76</v>
      </c>
      <c r="N471" t="s">
        <v>80</v>
      </c>
    </row>
    <row r="472" spans="1:14" x14ac:dyDescent="0.3">
      <c r="A472">
        <v>2471</v>
      </c>
      <c r="B472" s="4">
        <v>45444</v>
      </c>
      <c r="C472">
        <v>2024</v>
      </c>
      <c r="D472" t="s">
        <v>17</v>
      </c>
      <c r="E472" t="s">
        <v>34</v>
      </c>
      <c r="F472" t="s">
        <v>65</v>
      </c>
      <c r="G472" t="s">
        <v>73</v>
      </c>
      <c r="H472">
        <v>3</v>
      </c>
      <c r="I472">
        <v>158.71</v>
      </c>
      <c r="J472">
        <v>476.13</v>
      </c>
      <c r="K472">
        <v>134.34</v>
      </c>
      <c r="L472">
        <v>73.11</v>
      </c>
      <c r="M472" t="s">
        <v>74</v>
      </c>
      <c r="N472" t="s">
        <v>78</v>
      </c>
    </row>
    <row r="473" spans="1:14" x14ac:dyDescent="0.3">
      <c r="A473">
        <v>2472</v>
      </c>
      <c r="B473" s="4">
        <v>45401</v>
      </c>
      <c r="C473">
        <v>2024</v>
      </c>
      <c r="D473" t="s">
        <v>21</v>
      </c>
      <c r="E473" t="s">
        <v>41</v>
      </c>
      <c r="F473" t="s">
        <v>67</v>
      </c>
      <c r="G473" t="s">
        <v>71</v>
      </c>
      <c r="H473">
        <v>1</v>
      </c>
      <c r="I473">
        <v>80.150000000000006</v>
      </c>
      <c r="J473">
        <v>80.150000000000006</v>
      </c>
      <c r="K473">
        <v>57.64</v>
      </c>
      <c r="L473">
        <v>22.51</v>
      </c>
      <c r="M473" t="s">
        <v>75</v>
      </c>
      <c r="N473" t="s">
        <v>80</v>
      </c>
    </row>
    <row r="474" spans="1:14" x14ac:dyDescent="0.3">
      <c r="A474">
        <v>2473</v>
      </c>
      <c r="B474" s="4">
        <v>44820</v>
      </c>
      <c r="C474">
        <v>2022</v>
      </c>
      <c r="D474" t="s">
        <v>17</v>
      </c>
      <c r="E474" t="s">
        <v>34</v>
      </c>
      <c r="F474" t="s">
        <v>52</v>
      </c>
      <c r="G474" t="s">
        <v>71</v>
      </c>
      <c r="H474">
        <v>14</v>
      </c>
      <c r="I474">
        <v>189.8</v>
      </c>
      <c r="J474">
        <v>2657.2</v>
      </c>
      <c r="K474">
        <v>166.23</v>
      </c>
      <c r="L474">
        <v>329.98</v>
      </c>
      <c r="M474" t="s">
        <v>74</v>
      </c>
      <c r="N474" t="s">
        <v>78</v>
      </c>
    </row>
    <row r="475" spans="1:14" x14ac:dyDescent="0.3">
      <c r="A475">
        <v>2474</v>
      </c>
      <c r="B475" s="4">
        <v>45572</v>
      </c>
      <c r="C475">
        <v>2024</v>
      </c>
      <c r="D475" t="s">
        <v>20</v>
      </c>
      <c r="E475" t="s">
        <v>40</v>
      </c>
      <c r="F475" t="s">
        <v>65</v>
      </c>
      <c r="G475" t="s">
        <v>73</v>
      </c>
      <c r="H475">
        <v>11</v>
      </c>
      <c r="I475">
        <v>139.88</v>
      </c>
      <c r="J475">
        <v>1538.68</v>
      </c>
      <c r="K475">
        <v>101.97</v>
      </c>
      <c r="L475">
        <v>417.01</v>
      </c>
      <c r="M475" t="s">
        <v>75</v>
      </c>
      <c r="N475" t="s">
        <v>78</v>
      </c>
    </row>
    <row r="476" spans="1:14" x14ac:dyDescent="0.3">
      <c r="A476">
        <v>2475</v>
      </c>
      <c r="B476" s="4">
        <v>44653</v>
      </c>
      <c r="C476">
        <v>2022</v>
      </c>
      <c r="D476" t="s">
        <v>20</v>
      </c>
      <c r="E476" t="s">
        <v>32</v>
      </c>
      <c r="F476" t="s">
        <v>53</v>
      </c>
      <c r="G476" t="s">
        <v>69</v>
      </c>
      <c r="H476">
        <v>2</v>
      </c>
      <c r="I476">
        <v>88.67</v>
      </c>
      <c r="J476">
        <v>177.34</v>
      </c>
      <c r="K476">
        <v>54.03</v>
      </c>
      <c r="L476">
        <v>69.28</v>
      </c>
      <c r="M476" t="s">
        <v>75</v>
      </c>
      <c r="N476" t="s">
        <v>77</v>
      </c>
    </row>
    <row r="477" spans="1:14" x14ac:dyDescent="0.3">
      <c r="A477">
        <v>2476</v>
      </c>
      <c r="B477" s="4">
        <v>45338</v>
      </c>
      <c r="C477">
        <v>2024</v>
      </c>
      <c r="D477" t="s">
        <v>18</v>
      </c>
      <c r="E477" t="s">
        <v>29</v>
      </c>
      <c r="F477" t="s">
        <v>57</v>
      </c>
      <c r="G477" t="s">
        <v>73</v>
      </c>
      <c r="H477">
        <v>15</v>
      </c>
      <c r="I477">
        <v>197.48</v>
      </c>
      <c r="J477">
        <v>2962.2</v>
      </c>
      <c r="K477">
        <v>171.4</v>
      </c>
      <c r="L477">
        <v>391.2</v>
      </c>
      <c r="M477" t="s">
        <v>75</v>
      </c>
      <c r="N477" t="s">
        <v>80</v>
      </c>
    </row>
    <row r="478" spans="1:14" x14ac:dyDescent="0.3">
      <c r="A478">
        <v>2477</v>
      </c>
      <c r="B478" s="4">
        <v>45343</v>
      </c>
      <c r="C478">
        <v>2024</v>
      </c>
      <c r="D478" t="s">
        <v>17</v>
      </c>
      <c r="E478" t="s">
        <v>34</v>
      </c>
      <c r="F478" t="s">
        <v>52</v>
      </c>
      <c r="G478" t="s">
        <v>71</v>
      </c>
      <c r="H478">
        <v>3</v>
      </c>
      <c r="I478">
        <v>85.61</v>
      </c>
      <c r="J478">
        <v>256.83</v>
      </c>
      <c r="K478">
        <v>76.55</v>
      </c>
      <c r="L478">
        <v>27.18</v>
      </c>
      <c r="M478" t="s">
        <v>76</v>
      </c>
      <c r="N478" t="s">
        <v>78</v>
      </c>
    </row>
    <row r="479" spans="1:14" x14ac:dyDescent="0.3">
      <c r="A479">
        <v>2478</v>
      </c>
      <c r="B479" s="4">
        <v>44673</v>
      </c>
      <c r="C479">
        <v>2022</v>
      </c>
      <c r="D479" t="s">
        <v>17</v>
      </c>
      <c r="E479" t="s">
        <v>27</v>
      </c>
      <c r="F479" t="s">
        <v>62</v>
      </c>
      <c r="G479" t="s">
        <v>72</v>
      </c>
      <c r="H479">
        <v>9</v>
      </c>
      <c r="I479">
        <v>165.92</v>
      </c>
      <c r="J479">
        <v>1493.28</v>
      </c>
      <c r="K479">
        <v>122.65</v>
      </c>
      <c r="L479">
        <v>389.43</v>
      </c>
      <c r="M479" t="s">
        <v>76</v>
      </c>
      <c r="N479" t="s">
        <v>80</v>
      </c>
    </row>
    <row r="480" spans="1:14" x14ac:dyDescent="0.3">
      <c r="A480">
        <v>2479</v>
      </c>
      <c r="B480" s="4">
        <v>44726</v>
      </c>
      <c r="C480">
        <v>2022</v>
      </c>
      <c r="D480" t="s">
        <v>20</v>
      </c>
      <c r="E480" t="s">
        <v>40</v>
      </c>
      <c r="F480" t="s">
        <v>63</v>
      </c>
      <c r="G480" t="s">
        <v>70</v>
      </c>
      <c r="H480">
        <v>2</v>
      </c>
      <c r="I480">
        <v>196.27</v>
      </c>
      <c r="J480">
        <v>392.54</v>
      </c>
      <c r="K480">
        <v>157.91999999999999</v>
      </c>
      <c r="L480">
        <v>76.7</v>
      </c>
      <c r="M480" t="s">
        <v>75</v>
      </c>
      <c r="N480" t="s">
        <v>77</v>
      </c>
    </row>
    <row r="481" spans="1:14" x14ac:dyDescent="0.3">
      <c r="A481">
        <v>2480</v>
      </c>
      <c r="B481" s="4">
        <v>45432</v>
      </c>
      <c r="C481">
        <v>2024</v>
      </c>
      <c r="D481" t="s">
        <v>18</v>
      </c>
      <c r="E481" t="s">
        <v>29</v>
      </c>
      <c r="F481" t="s">
        <v>51</v>
      </c>
      <c r="G481" t="s">
        <v>69</v>
      </c>
      <c r="H481">
        <v>8</v>
      </c>
      <c r="I481">
        <v>169.28</v>
      </c>
      <c r="J481">
        <v>1354.24</v>
      </c>
      <c r="K481">
        <v>144.06</v>
      </c>
      <c r="L481">
        <v>201.76</v>
      </c>
      <c r="M481" t="s">
        <v>74</v>
      </c>
      <c r="N481" t="s">
        <v>78</v>
      </c>
    </row>
    <row r="482" spans="1:14" x14ac:dyDescent="0.3">
      <c r="A482">
        <v>2481</v>
      </c>
      <c r="B482" s="4">
        <v>44859</v>
      </c>
      <c r="C482">
        <v>2022</v>
      </c>
      <c r="D482" t="s">
        <v>17</v>
      </c>
      <c r="E482" t="s">
        <v>27</v>
      </c>
      <c r="F482" t="s">
        <v>46</v>
      </c>
      <c r="G482" t="s">
        <v>70</v>
      </c>
      <c r="H482">
        <v>4</v>
      </c>
      <c r="I482">
        <v>199.65</v>
      </c>
      <c r="J482">
        <v>798.6</v>
      </c>
      <c r="K482">
        <v>169.72</v>
      </c>
      <c r="L482">
        <v>119.72</v>
      </c>
      <c r="M482" t="s">
        <v>75</v>
      </c>
      <c r="N482" t="s">
        <v>79</v>
      </c>
    </row>
    <row r="483" spans="1:14" x14ac:dyDescent="0.3">
      <c r="A483">
        <v>2482</v>
      </c>
      <c r="B483" s="4">
        <v>44845</v>
      </c>
      <c r="C483">
        <v>2022</v>
      </c>
      <c r="D483" t="s">
        <v>23</v>
      </c>
      <c r="E483" t="s">
        <v>43</v>
      </c>
      <c r="F483" t="s">
        <v>52</v>
      </c>
      <c r="G483" t="s">
        <v>71</v>
      </c>
      <c r="H483">
        <v>12</v>
      </c>
      <c r="I483">
        <v>193.48</v>
      </c>
      <c r="J483">
        <v>2321.7600000000002</v>
      </c>
      <c r="K483">
        <v>154.46</v>
      </c>
      <c r="L483">
        <v>468.24</v>
      </c>
      <c r="M483" t="s">
        <v>76</v>
      </c>
      <c r="N483" t="s">
        <v>79</v>
      </c>
    </row>
    <row r="484" spans="1:14" x14ac:dyDescent="0.3">
      <c r="A484">
        <v>2483</v>
      </c>
      <c r="B484" s="4">
        <v>45278</v>
      </c>
      <c r="C484">
        <v>2023</v>
      </c>
      <c r="D484" t="s">
        <v>18</v>
      </c>
      <c r="E484" t="s">
        <v>29</v>
      </c>
      <c r="F484" t="s">
        <v>64</v>
      </c>
      <c r="G484" t="s">
        <v>70</v>
      </c>
      <c r="H484">
        <v>14</v>
      </c>
      <c r="I484">
        <v>144.35</v>
      </c>
      <c r="J484">
        <v>2020.9</v>
      </c>
      <c r="K484">
        <v>127.43</v>
      </c>
      <c r="L484">
        <v>236.88</v>
      </c>
      <c r="M484" t="s">
        <v>76</v>
      </c>
      <c r="N484" t="s">
        <v>77</v>
      </c>
    </row>
    <row r="485" spans="1:14" x14ac:dyDescent="0.3">
      <c r="A485">
        <v>2484</v>
      </c>
      <c r="B485" s="4">
        <v>44867</v>
      </c>
      <c r="C485">
        <v>2022</v>
      </c>
      <c r="D485" t="s">
        <v>21</v>
      </c>
      <c r="E485" t="s">
        <v>33</v>
      </c>
      <c r="F485" t="s">
        <v>66</v>
      </c>
      <c r="G485" t="s">
        <v>72</v>
      </c>
      <c r="H485">
        <v>11</v>
      </c>
      <c r="I485">
        <v>119.1</v>
      </c>
      <c r="J485">
        <v>1310.0999999999999</v>
      </c>
      <c r="K485">
        <v>89.11</v>
      </c>
      <c r="L485">
        <v>329.89</v>
      </c>
      <c r="M485" t="s">
        <v>75</v>
      </c>
      <c r="N485" t="s">
        <v>77</v>
      </c>
    </row>
    <row r="486" spans="1:14" x14ac:dyDescent="0.3">
      <c r="A486">
        <v>2485</v>
      </c>
      <c r="B486" s="4">
        <v>44915</v>
      </c>
      <c r="C486">
        <v>2022</v>
      </c>
      <c r="D486" t="s">
        <v>17</v>
      </c>
      <c r="E486" t="s">
        <v>34</v>
      </c>
      <c r="F486" t="s">
        <v>44</v>
      </c>
      <c r="G486" t="s">
        <v>68</v>
      </c>
      <c r="H486">
        <v>13</v>
      </c>
      <c r="I486">
        <v>50.55</v>
      </c>
      <c r="J486">
        <v>657.15</v>
      </c>
      <c r="K486">
        <v>35.659999999999997</v>
      </c>
      <c r="L486">
        <v>193.57</v>
      </c>
      <c r="M486" t="s">
        <v>75</v>
      </c>
      <c r="N486" t="s">
        <v>79</v>
      </c>
    </row>
    <row r="487" spans="1:14" x14ac:dyDescent="0.3">
      <c r="A487">
        <v>2486</v>
      </c>
      <c r="B487" s="4">
        <v>44907</v>
      </c>
      <c r="C487">
        <v>2022</v>
      </c>
      <c r="D487" t="s">
        <v>22</v>
      </c>
      <c r="E487" t="s">
        <v>36</v>
      </c>
      <c r="F487" t="s">
        <v>47</v>
      </c>
      <c r="G487" t="s">
        <v>71</v>
      </c>
      <c r="H487">
        <v>20</v>
      </c>
      <c r="I487">
        <v>21.32</v>
      </c>
      <c r="J487">
        <v>426.4</v>
      </c>
      <c r="K487">
        <v>13.46</v>
      </c>
      <c r="L487">
        <v>157.19999999999999</v>
      </c>
      <c r="M487" t="s">
        <v>74</v>
      </c>
      <c r="N487" t="s">
        <v>78</v>
      </c>
    </row>
    <row r="488" spans="1:14" x14ac:dyDescent="0.3">
      <c r="A488">
        <v>2487</v>
      </c>
      <c r="B488" s="4">
        <v>44567</v>
      </c>
      <c r="C488">
        <v>2022</v>
      </c>
      <c r="D488" t="s">
        <v>15</v>
      </c>
      <c r="E488" t="s">
        <v>28</v>
      </c>
      <c r="F488" t="s">
        <v>59</v>
      </c>
      <c r="G488" t="s">
        <v>69</v>
      </c>
      <c r="H488">
        <v>9</v>
      </c>
      <c r="I488">
        <v>182.71</v>
      </c>
      <c r="J488">
        <v>1644.39</v>
      </c>
      <c r="K488">
        <v>110.34</v>
      </c>
      <c r="L488">
        <v>651.33000000000004</v>
      </c>
      <c r="M488" t="s">
        <v>76</v>
      </c>
      <c r="N488" t="s">
        <v>80</v>
      </c>
    </row>
    <row r="489" spans="1:14" x14ac:dyDescent="0.3">
      <c r="A489">
        <v>2488</v>
      </c>
      <c r="B489" s="4">
        <v>45482</v>
      </c>
      <c r="C489">
        <v>2024</v>
      </c>
      <c r="D489" t="s">
        <v>23</v>
      </c>
      <c r="E489" t="s">
        <v>37</v>
      </c>
      <c r="F489" t="s">
        <v>67</v>
      </c>
      <c r="G489" t="s">
        <v>71</v>
      </c>
      <c r="H489">
        <v>12</v>
      </c>
      <c r="I489">
        <v>23.76</v>
      </c>
      <c r="J489">
        <v>285.12</v>
      </c>
      <c r="K489">
        <v>20.38</v>
      </c>
      <c r="L489">
        <v>40.56</v>
      </c>
      <c r="M489" t="s">
        <v>75</v>
      </c>
      <c r="N489" t="s">
        <v>80</v>
      </c>
    </row>
    <row r="490" spans="1:14" x14ac:dyDescent="0.3">
      <c r="A490">
        <v>2489</v>
      </c>
      <c r="B490" s="4">
        <v>44776</v>
      </c>
      <c r="C490">
        <v>2022</v>
      </c>
      <c r="D490" t="s">
        <v>19</v>
      </c>
      <c r="E490" t="s">
        <v>42</v>
      </c>
      <c r="F490" t="s">
        <v>49</v>
      </c>
      <c r="G490" t="s">
        <v>72</v>
      </c>
      <c r="H490">
        <v>17</v>
      </c>
      <c r="I490">
        <v>149.44</v>
      </c>
      <c r="J490">
        <v>2540.48</v>
      </c>
      <c r="K490">
        <v>131.78</v>
      </c>
      <c r="L490">
        <v>300.22000000000003</v>
      </c>
      <c r="M490" t="s">
        <v>75</v>
      </c>
      <c r="N490" t="s">
        <v>77</v>
      </c>
    </row>
    <row r="491" spans="1:14" x14ac:dyDescent="0.3">
      <c r="A491">
        <v>2490</v>
      </c>
      <c r="B491" s="4">
        <v>45450</v>
      </c>
      <c r="C491">
        <v>2024</v>
      </c>
      <c r="D491" t="s">
        <v>19</v>
      </c>
      <c r="E491" t="s">
        <v>31</v>
      </c>
      <c r="F491" t="s">
        <v>53</v>
      </c>
      <c r="G491" t="s">
        <v>69</v>
      </c>
      <c r="H491">
        <v>18</v>
      </c>
      <c r="I491">
        <v>70.89</v>
      </c>
      <c r="J491">
        <v>1276.02</v>
      </c>
      <c r="K491">
        <v>50.5</v>
      </c>
      <c r="L491">
        <v>367.02</v>
      </c>
      <c r="M491" t="s">
        <v>76</v>
      </c>
      <c r="N491" t="s">
        <v>80</v>
      </c>
    </row>
    <row r="492" spans="1:14" x14ac:dyDescent="0.3">
      <c r="A492">
        <v>2491</v>
      </c>
      <c r="B492" s="4">
        <v>44806</v>
      </c>
      <c r="C492">
        <v>2022</v>
      </c>
      <c r="D492" t="s">
        <v>19</v>
      </c>
      <c r="E492" t="s">
        <v>31</v>
      </c>
      <c r="F492" t="s">
        <v>57</v>
      </c>
      <c r="G492" t="s">
        <v>73</v>
      </c>
      <c r="H492">
        <v>20</v>
      </c>
      <c r="I492">
        <v>81.83</v>
      </c>
      <c r="J492">
        <v>1636.6</v>
      </c>
      <c r="K492">
        <v>69.87</v>
      </c>
      <c r="L492">
        <v>239.2</v>
      </c>
      <c r="M492" t="s">
        <v>75</v>
      </c>
      <c r="N492" t="s">
        <v>79</v>
      </c>
    </row>
    <row r="493" spans="1:14" x14ac:dyDescent="0.3">
      <c r="A493">
        <v>2492</v>
      </c>
      <c r="B493" s="4">
        <v>44619</v>
      </c>
      <c r="C493">
        <v>2022</v>
      </c>
      <c r="D493" t="s">
        <v>18</v>
      </c>
      <c r="E493" t="s">
        <v>29</v>
      </c>
      <c r="F493" t="s">
        <v>56</v>
      </c>
      <c r="G493" t="s">
        <v>70</v>
      </c>
      <c r="H493">
        <v>15</v>
      </c>
      <c r="I493">
        <v>137.38</v>
      </c>
      <c r="J493">
        <v>2060.6999999999998</v>
      </c>
      <c r="K493">
        <v>88.38</v>
      </c>
      <c r="L493">
        <v>735</v>
      </c>
      <c r="M493" t="s">
        <v>76</v>
      </c>
      <c r="N493" t="s">
        <v>80</v>
      </c>
    </row>
    <row r="494" spans="1:14" x14ac:dyDescent="0.3">
      <c r="A494">
        <v>2493</v>
      </c>
      <c r="B494" s="4">
        <v>45238</v>
      </c>
      <c r="C494">
        <v>2023</v>
      </c>
      <c r="D494" t="s">
        <v>20</v>
      </c>
      <c r="E494" t="s">
        <v>40</v>
      </c>
      <c r="F494" t="s">
        <v>67</v>
      </c>
      <c r="G494" t="s">
        <v>71</v>
      </c>
      <c r="H494">
        <v>5</v>
      </c>
      <c r="I494">
        <v>73.989999999999995</v>
      </c>
      <c r="J494">
        <v>369.95</v>
      </c>
      <c r="K494">
        <v>64.41</v>
      </c>
      <c r="L494">
        <v>47.9</v>
      </c>
      <c r="M494" t="s">
        <v>75</v>
      </c>
      <c r="N494" t="s">
        <v>79</v>
      </c>
    </row>
    <row r="495" spans="1:14" x14ac:dyDescent="0.3">
      <c r="A495">
        <v>2494</v>
      </c>
      <c r="B495" s="4">
        <v>45192</v>
      </c>
      <c r="C495">
        <v>2023</v>
      </c>
      <c r="D495" t="s">
        <v>19</v>
      </c>
      <c r="E495" t="s">
        <v>31</v>
      </c>
      <c r="F495" t="s">
        <v>47</v>
      </c>
      <c r="G495" t="s">
        <v>71</v>
      </c>
      <c r="H495">
        <v>4</v>
      </c>
      <c r="I495">
        <v>197.41</v>
      </c>
      <c r="J495">
        <v>789.64</v>
      </c>
      <c r="K495">
        <v>158.21</v>
      </c>
      <c r="L495">
        <v>156.80000000000001</v>
      </c>
      <c r="M495" t="s">
        <v>76</v>
      </c>
      <c r="N495" t="s">
        <v>80</v>
      </c>
    </row>
    <row r="496" spans="1:14" x14ac:dyDescent="0.3">
      <c r="A496">
        <v>2495</v>
      </c>
      <c r="B496" s="4">
        <v>45372</v>
      </c>
      <c r="C496">
        <v>2024</v>
      </c>
      <c r="D496" t="s">
        <v>16</v>
      </c>
      <c r="E496" t="s">
        <v>35</v>
      </c>
      <c r="F496" t="s">
        <v>54</v>
      </c>
      <c r="G496" t="s">
        <v>72</v>
      </c>
      <c r="H496">
        <v>1</v>
      </c>
      <c r="I496">
        <v>169.9</v>
      </c>
      <c r="J496">
        <v>169.9</v>
      </c>
      <c r="K496">
        <v>123.44</v>
      </c>
      <c r="L496">
        <v>46.46</v>
      </c>
      <c r="M496" t="s">
        <v>76</v>
      </c>
      <c r="N496" t="s">
        <v>79</v>
      </c>
    </row>
    <row r="497" spans="1:14" x14ac:dyDescent="0.3">
      <c r="A497">
        <v>2496</v>
      </c>
      <c r="B497" s="4">
        <v>44747</v>
      </c>
      <c r="C497">
        <v>2022</v>
      </c>
      <c r="D497" t="s">
        <v>16</v>
      </c>
      <c r="E497" t="s">
        <v>35</v>
      </c>
      <c r="F497" t="s">
        <v>62</v>
      </c>
      <c r="G497" t="s">
        <v>72</v>
      </c>
      <c r="H497">
        <v>18</v>
      </c>
      <c r="I497">
        <v>194.22</v>
      </c>
      <c r="J497">
        <v>3495.96</v>
      </c>
      <c r="K497">
        <v>155.33000000000001</v>
      </c>
      <c r="L497">
        <v>700.02</v>
      </c>
      <c r="M497" t="s">
        <v>76</v>
      </c>
      <c r="N497" t="s">
        <v>79</v>
      </c>
    </row>
    <row r="498" spans="1:14" x14ac:dyDescent="0.3">
      <c r="A498">
        <v>2497</v>
      </c>
      <c r="B498" s="4">
        <v>45179</v>
      </c>
      <c r="C498">
        <v>2023</v>
      </c>
      <c r="D498" t="s">
        <v>17</v>
      </c>
      <c r="E498" t="s">
        <v>34</v>
      </c>
      <c r="F498" t="s">
        <v>46</v>
      </c>
      <c r="G498" t="s">
        <v>70</v>
      </c>
      <c r="H498">
        <v>16</v>
      </c>
      <c r="I498">
        <v>141.79</v>
      </c>
      <c r="J498">
        <v>2268.64</v>
      </c>
      <c r="K498">
        <v>90.44</v>
      </c>
      <c r="L498">
        <v>821.6</v>
      </c>
      <c r="M498" t="s">
        <v>74</v>
      </c>
      <c r="N498" t="s">
        <v>79</v>
      </c>
    </row>
    <row r="499" spans="1:14" x14ac:dyDescent="0.3">
      <c r="A499">
        <v>2498</v>
      </c>
      <c r="B499" s="4">
        <v>45181</v>
      </c>
      <c r="C499">
        <v>2023</v>
      </c>
      <c r="D499" t="s">
        <v>21</v>
      </c>
      <c r="E499" t="s">
        <v>33</v>
      </c>
      <c r="F499" t="s">
        <v>55</v>
      </c>
      <c r="G499" t="s">
        <v>71</v>
      </c>
      <c r="H499">
        <v>18</v>
      </c>
      <c r="I499">
        <v>197.52</v>
      </c>
      <c r="J499">
        <v>3555.36</v>
      </c>
      <c r="K499">
        <v>149.03</v>
      </c>
      <c r="L499">
        <v>872.82</v>
      </c>
      <c r="M499" t="s">
        <v>74</v>
      </c>
      <c r="N499" t="s">
        <v>78</v>
      </c>
    </row>
    <row r="500" spans="1:14" x14ac:dyDescent="0.3">
      <c r="A500">
        <v>2499</v>
      </c>
      <c r="B500" s="4">
        <v>44807</v>
      </c>
      <c r="C500">
        <v>2022</v>
      </c>
      <c r="D500" t="s">
        <v>19</v>
      </c>
      <c r="E500" t="s">
        <v>39</v>
      </c>
      <c r="F500" t="s">
        <v>48</v>
      </c>
      <c r="G500" t="s">
        <v>68</v>
      </c>
      <c r="H500">
        <v>1</v>
      </c>
      <c r="I500">
        <v>45.98</v>
      </c>
      <c r="J500">
        <v>45.98</v>
      </c>
      <c r="K500">
        <v>29.02</v>
      </c>
      <c r="L500">
        <v>16.96</v>
      </c>
      <c r="M500" t="s">
        <v>75</v>
      </c>
      <c r="N500" t="s">
        <v>80</v>
      </c>
    </row>
    <row r="501" spans="1:14" x14ac:dyDescent="0.3">
      <c r="A501">
        <v>2500</v>
      </c>
      <c r="B501" s="4">
        <v>44679</v>
      </c>
      <c r="C501">
        <v>2022</v>
      </c>
      <c r="D501" t="s">
        <v>17</v>
      </c>
      <c r="E501" t="s">
        <v>34</v>
      </c>
      <c r="F501" t="s">
        <v>61</v>
      </c>
      <c r="G501" t="s">
        <v>68</v>
      </c>
      <c r="H501">
        <v>18</v>
      </c>
      <c r="I501">
        <v>91.58</v>
      </c>
      <c r="J501">
        <v>1648.44</v>
      </c>
      <c r="K501">
        <v>67.48</v>
      </c>
      <c r="L501">
        <v>433.8</v>
      </c>
      <c r="M501" t="s">
        <v>76</v>
      </c>
      <c r="N501" t="s">
        <v>78</v>
      </c>
    </row>
    <row r="502" spans="1:14" x14ac:dyDescent="0.3">
      <c r="A502">
        <v>2501</v>
      </c>
      <c r="B502" s="4">
        <v>44825</v>
      </c>
      <c r="C502">
        <v>2022</v>
      </c>
      <c r="D502" t="s">
        <v>23</v>
      </c>
      <c r="E502" t="s">
        <v>43</v>
      </c>
      <c r="F502" t="s">
        <v>44</v>
      </c>
      <c r="G502" t="s">
        <v>68</v>
      </c>
      <c r="H502">
        <v>9</v>
      </c>
      <c r="I502">
        <v>78.22</v>
      </c>
      <c r="J502">
        <v>703.98</v>
      </c>
      <c r="K502">
        <v>57.39</v>
      </c>
      <c r="L502">
        <v>187.47</v>
      </c>
      <c r="M502" t="s">
        <v>76</v>
      </c>
      <c r="N502" t="s">
        <v>80</v>
      </c>
    </row>
    <row r="503" spans="1:14" x14ac:dyDescent="0.3">
      <c r="A503">
        <v>2502</v>
      </c>
      <c r="B503" s="4">
        <v>44877</v>
      </c>
      <c r="C503">
        <v>2022</v>
      </c>
      <c r="D503" t="s">
        <v>16</v>
      </c>
      <c r="E503" t="s">
        <v>35</v>
      </c>
      <c r="F503" t="s">
        <v>55</v>
      </c>
      <c r="G503" t="s">
        <v>71</v>
      </c>
      <c r="H503">
        <v>5</v>
      </c>
      <c r="I503">
        <v>179.93</v>
      </c>
      <c r="J503">
        <v>899.65</v>
      </c>
      <c r="K503">
        <v>118.99</v>
      </c>
      <c r="L503">
        <v>304.7</v>
      </c>
      <c r="M503" t="s">
        <v>76</v>
      </c>
      <c r="N503" t="s">
        <v>77</v>
      </c>
    </row>
    <row r="504" spans="1:14" x14ac:dyDescent="0.3">
      <c r="A504">
        <v>2503</v>
      </c>
      <c r="B504" s="4">
        <v>45073</v>
      </c>
      <c r="C504">
        <v>2023</v>
      </c>
      <c r="D504" t="s">
        <v>20</v>
      </c>
      <c r="E504" t="s">
        <v>32</v>
      </c>
      <c r="F504" t="s">
        <v>65</v>
      </c>
      <c r="G504" t="s">
        <v>73</v>
      </c>
      <c r="H504">
        <v>15</v>
      </c>
      <c r="I504">
        <v>165.11</v>
      </c>
      <c r="J504">
        <v>2476.65</v>
      </c>
      <c r="K504">
        <v>138.66</v>
      </c>
      <c r="L504">
        <v>396.75</v>
      </c>
      <c r="M504" t="s">
        <v>76</v>
      </c>
      <c r="N504" t="s">
        <v>78</v>
      </c>
    </row>
    <row r="505" spans="1:14" x14ac:dyDescent="0.3">
      <c r="A505">
        <v>2504</v>
      </c>
      <c r="B505" s="4">
        <v>44569</v>
      </c>
      <c r="C505">
        <v>2022</v>
      </c>
      <c r="D505" t="s">
        <v>15</v>
      </c>
      <c r="E505" t="s">
        <v>25</v>
      </c>
      <c r="F505" t="s">
        <v>53</v>
      </c>
      <c r="G505" t="s">
        <v>69</v>
      </c>
      <c r="H505">
        <v>19</v>
      </c>
      <c r="I505">
        <v>68.31</v>
      </c>
      <c r="J505">
        <v>1297.8900000000001</v>
      </c>
      <c r="K505">
        <v>51.33</v>
      </c>
      <c r="L505">
        <v>322.62</v>
      </c>
      <c r="M505" t="s">
        <v>76</v>
      </c>
      <c r="N505" t="s">
        <v>79</v>
      </c>
    </row>
    <row r="506" spans="1:14" x14ac:dyDescent="0.3">
      <c r="A506">
        <v>2505</v>
      </c>
      <c r="B506" s="4">
        <v>44607</v>
      </c>
      <c r="C506">
        <v>2022</v>
      </c>
      <c r="D506" t="s">
        <v>18</v>
      </c>
      <c r="E506" t="s">
        <v>29</v>
      </c>
      <c r="F506" t="s">
        <v>55</v>
      </c>
      <c r="G506" t="s">
        <v>71</v>
      </c>
      <c r="H506">
        <v>6</v>
      </c>
      <c r="I506">
        <v>135.43</v>
      </c>
      <c r="J506">
        <v>812.58</v>
      </c>
      <c r="K506">
        <v>91.15</v>
      </c>
      <c r="L506">
        <v>265.68</v>
      </c>
      <c r="M506" t="s">
        <v>75</v>
      </c>
      <c r="N506" t="s">
        <v>77</v>
      </c>
    </row>
    <row r="507" spans="1:14" x14ac:dyDescent="0.3">
      <c r="A507">
        <v>2506</v>
      </c>
      <c r="B507" s="4">
        <v>44737</v>
      </c>
      <c r="C507">
        <v>2022</v>
      </c>
      <c r="D507" t="s">
        <v>20</v>
      </c>
      <c r="E507" t="s">
        <v>32</v>
      </c>
      <c r="F507" t="s">
        <v>61</v>
      </c>
      <c r="G507" t="s">
        <v>68</v>
      </c>
      <c r="H507">
        <v>2</v>
      </c>
      <c r="I507">
        <v>29.47</v>
      </c>
      <c r="J507">
        <v>58.94</v>
      </c>
      <c r="K507">
        <v>22.23</v>
      </c>
      <c r="L507">
        <v>14.48</v>
      </c>
      <c r="M507" t="s">
        <v>76</v>
      </c>
      <c r="N507" t="s">
        <v>80</v>
      </c>
    </row>
    <row r="508" spans="1:14" x14ac:dyDescent="0.3">
      <c r="A508">
        <v>2507</v>
      </c>
      <c r="B508" s="4">
        <v>45577</v>
      </c>
      <c r="C508">
        <v>2024</v>
      </c>
      <c r="D508" t="s">
        <v>22</v>
      </c>
      <c r="E508" t="s">
        <v>36</v>
      </c>
      <c r="F508" t="s">
        <v>51</v>
      </c>
      <c r="G508" t="s">
        <v>69</v>
      </c>
      <c r="H508">
        <v>20</v>
      </c>
      <c r="I508">
        <v>158.88999999999999</v>
      </c>
      <c r="J508">
        <v>3177.8</v>
      </c>
      <c r="K508">
        <v>112.28</v>
      </c>
      <c r="L508">
        <v>932.2</v>
      </c>
      <c r="M508" t="s">
        <v>74</v>
      </c>
      <c r="N508" t="s">
        <v>79</v>
      </c>
    </row>
    <row r="509" spans="1:14" x14ac:dyDescent="0.3">
      <c r="A509">
        <v>2508</v>
      </c>
      <c r="B509" s="4">
        <v>45386</v>
      </c>
      <c r="C509">
        <v>2024</v>
      </c>
      <c r="D509" t="s">
        <v>23</v>
      </c>
      <c r="E509" t="s">
        <v>37</v>
      </c>
      <c r="F509" t="s">
        <v>52</v>
      </c>
      <c r="G509" t="s">
        <v>71</v>
      </c>
      <c r="H509">
        <v>8</v>
      </c>
      <c r="I509">
        <v>27.52</v>
      </c>
      <c r="J509">
        <v>220.16</v>
      </c>
      <c r="K509">
        <v>23.53</v>
      </c>
      <c r="L509">
        <v>31.92</v>
      </c>
      <c r="M509" t="s">
        <v>76</v>
      </c>
      <c r="N509" t="s">
        <v>80</v>
      </c>
    </row>
    <row r="510" spans="1:14" x14ac:dyDescent="0.3">
      <c r="A510">
        <v>2509</v>
      </c>
      <c r="B510" s="4">
        <v>45494</v>
      </c>
      <c r="C510">
        <v>2024</v>
      </c>
      <c r="D510" t="s">
        <v>14</v>
      </c>
      <c r="E510" t="s">
        <v>24</v>
      </c>
      <c r="F510" t="s">
        <v>61</v>
      </c>
      <c r="G510" t="s">
        <v>68</v>
      </c>
      <c r="H510">
        <v>2</v>
      </c>
      <c r="I510">
        <v>157.86000000000001</v>
      </c>
      <c r="J510">
        <v>315.72000000000003</v>
      </c>
      <c r="K510">
        <v>110.17</v>
      </c>
      <c r="L510">
        <v>95.38</v>
      </c>
      <c r="M510" t="s">
        <v>74</v>
      </c>
      <c r="N510" t="s">
        <v>79</v>
      </c>
    </row>
    <row r="511" spans="1:14" x14ac:dyDescent="0.3">
      <c r="A511">
        <v>2510</v>
      </c>
      <c r="B511" s="4">
        <v>45070</v>
      </c>
      <c r="C511">
        <v>2023</v>
      </c>
      <c r="D511" t="s">
        <v>15</v>
      </c>
      <c r="E511" t="s">
        <v>25</v>
      </c>
      <c r="F511" t="s">
        <v>62</v>
      </c>
      <c r="G511" t="s">
        <v>72</v>
      </c>
      <c r="H511">
        <v>5</v>
      </c>
      <c r="I511">
        <v>174.85</v>
      </c>
      <c r="J511">
        <v>874.25</v>
      </c>
      <c r="K511">
        <v>126.97</v>
      </c>
      <c r="L511">
        <v>239.4</v>
      </c>
      <c r="M511" t="s">
        <v>74</v>
      </c>
      <c r="N511" t="s">
        <v>79</v>
      </c>
    </row>
    <row r="512" spans="1:14" x14ac:dyDescent="0.3">
      <c r="A512">
        <v>2511</v>
      </c>
      <c r="B512" s="4">
        <v>44990</v>
      </c>
      <c r="C512">
        <v>2023</v>
      </c>
      <c r="D512" t="s">
        <v>19</v>
      </c>
      <c r="E512" t="s">
        <v>31</v>
      </c>
      <c r="F512" t="s">
        <v>46</v>
      </c>
      <c r="G512" t="s">
        <v>70</v>
      </c>
      <c r="H512">
        <v>1</v>
      </c>
      <c r="I512">
        <v>74.27</v>
      </c>
      <c r="J512">
        <v>74.27</v>
      </c>
      <c r="K512">
        <v>54.43</v>
      </c>
      <c r="L512">
        <v>19.84</v>
      </c>
      <c r="M512" t="s">
        <v>76</v>
      </c>
      <c r="N512" t="s">
        <v>80</v>
      </c>
    </row>
    <row r="513" spans="1:14" x14ac:dyDescent="0.3">
      <c r="A513">
        <v>2512</v>
      </c>
      <c r="B513" s="4">
        <v>45058</v>
      </c>
      <c r="C513">
        <v>2023</v>
      </c>
      <c r="D513" t="s">
        <v>20</v>
      </c>
      <c r="E513" t="s">
        <v>32</v>
      </c>
      <c r="F513" t="s">
        <v>67</v>
      </c>
      <c r="G513" t="s">
        <v>71</v>
      </c>
      <c r="H513">
        <v>19</v>
      </c>
      <c r="I513">
        <v>194.17</v>
      </c>
      <c r="J513">
        <v>3689.23</v>
      </c>
      <c r="K513">
        <v>163.59</v>
      </c>
      <c r="L513">
        <v>581.02</v>
      </c>
      <c r="M513" t="s">
        <v>74</v>
      </c>
      <c r="N513" t="s">
        <v>80</v>
      </c>
    </row>
    <row r="514" spans="1:14" x14ac:dyDescent="0.3">
      <c r="A514">
        <v>2513</v>
      </c>
      <c r="B514" s="4">
        <v>44797</v>
      </c>
      <c r="C514">
        <v>2022</v>
      </c>
      <c r="D514" t="s">
        <v>15</v>
      </c>
      <c r="E514" t="s">
        <v>25</v>
      </c>
      <c r="F514" t="s">
        <v>49</v>
      </c>
      <c r="G514" t="s">
        <v>72</v>
      </c>
      <c r="H514">
        <v>15</v>
      </c>
      <c r="I514">
        <v>58.06</v>
      </c>
      <c r="J514">
        <v>870.9</v>
      </c>
      <c r="K514">
        <v>36.6</v>
      </c>
      <c r="L514">
        <v>321.89999999999998</v>
      </c>
      <c r="M514" t="s">
        <v>76</v>
      </c>
      <c r="N514" t="s">
        <v>77</v>
      </c>
    </row>
    <row r="515" spans="1:14" x14ac:dyDescent="0.3">
      <c r="A515">
        <v>2514</v>
      </c>
      <c r="B515" s="4">
        <v>45226</v>
      </c>
      <c r="C515">
        <v>2023</v>
      </c>
      <c r="D515" t="s">
        <v>16</v>
      </c>
      <c r="E515" t="s">
        <v>35</v>
      </c>
      <c r="F515" t="s">
        <v>46</v>
      </c>
      <c r="G515" t="s">
        <v>70</v>
      </c>
      <c r="H515">
        <v>10</v>
      </c>
      <c r="I515">
        <v>79.77</v>
      </c>
      <c r="J515">
        <v>797.7</v>
      </c>
      <c r="K515">
        <v>70.11</v>
      </c>
      <c r="L515">
        <v>96.6</v>
      </c>
      <c r="M515" t="s">
        <v>75</v>
      </c>
      <c r="N515" t="s">
        <v>77</v>
      </c>
    </row>
    <row r="516" spans="1:14" x14ac:dyDescent="0.3">
      <c r="A516">
        <v>2515</v>
      </c>
      <c r="B516" s="4">
        <v>45438</v>
      </c>
      <c r="C516">
        <v>2024</v>
      </c>
      <c r="D516" t="s">
        <v>17</v>
      </c>
      <c r="E516" t="s">
        <v>27</v>
      </c>
      <c r="F516" t="s">
        <v>44</v>
      </c>
      <c r="G516" t="s">
        <v>68</v>
      </c>
      <c r="H516">
        <v>12</v>
      </c>
      <c r="I516">
        <v>121.28</v>
      </c>
      <c r="J516">
        <v>1455.36</v>
      </c>
      <c r="K516">
        <v>87.64</v>
      </c>
      <c r="L516">
        <v>403.68</v>
      </c>
      <c r="M516" t="s">
        <v>76</v>
      </c>
      <c r="N516" t="s">
        <v>80</v>
      </c>
    </row>
    <row r="517" spans="1:14" x14ac:dyDescent="0.3">
      <c r="A517">
        <v>2516</v>
      </c>
      <c r="B517" s="4">
        <v>44693</v>
      </c>
      <c r="C517">
        <v>2022</v>
      </c>
      <c r="D517" t="s">
        <v>17</v>
      </c>
      <c r="E517" t="s">
        <v>27</v>
      </c>
      <c r="F517" t="s">
        <v>55</v>
      </c>
      <c r="G517" t="s">
        <v>71</v>
      </c>
      <c r="H517">
        <v>7</v>
      </c>
      <c r="I517">
        <v>175.94</v>
      </c>
      <c r="J517">
        <v>1231.58</v>
      </c>
      <c r="K517">
        <v>142.99</v>
      </c>
      <c r="L517">
        <v>230.65</v>
      </c>
      <c r="M517" t="s">
        <v>75</v>
      </c>
      <c r="N517" t="s">
        <v>80</v>
      </c>
    </row>
    <row r="518" spans="1:14" x14ac:dyDescent="0.3">
      <c r="A518">
        <v>2517</v>
      </c>
      <c r="B518" s="4">
        <v>45286</v>
      </c>
      <c r="C518">
        <v>2023</v>
      </c>
      <c r="D518" t="s">
        <v>14</v>
      </c>
      <c r="E518" t="s">
        <v>24</v>
      </c>
      <c r="F518" t="s">
        <v>58</v>
      </c>
      <c r="G518" t="s">
        <v>68</v>
      </c>
      <c r="H518">
        <v>15</v>
      </c>
      <c r="I518">
        <v>29.71</v>
      </c>
      <c r="J518">
        <v>445.65</v>
      </c>
      <c r="K518">
        <v>20.73</v>
      </c>
      <c r="L518">
        <v>134.69999999999999</v>
      </c>
      <c r="M518" t="s">
        <v>74</v>
      </c>
      <c r="N518" t="s">
        <v>80</v>
      </c>
    </row>
    <row r="519" spans="1:14" x14ac:dyDescent="0.3">
      <c r="A519">
        <v>2518</v>
      </c>
      <c r="B519" s="4">
        <v>45174</v>
      </c>
      <c r="C519">
        <v>2023</v>
      </c>
      <c r="D519" t="s">
        <v>21</v>
      </c>
      <c r="E519" t="s">
        <v>41</v>
      </c>
      <c r="F519" t="s">
        <v>57</v>
      </c>
      <c r="G519" t="s">
        <v>73</v>
      </c>
      <c r="H519">
        <v>4</v>
      </c>
      <c r="I519">
        <v>94.44</v>
      </c>
      <c r="J519">
        <v>377.76</v>
      </c>
      <c r="K519">
        <v>63.68</v>
      </c>
      <c r="L519">
        <v>123.04</v>
      </c>
      <c r="M519" t="s">
        <v>74</v>
      </c>
      <c r="N519" t="s">
        <v>79</v>
      </c>
    </row>
    <row r="520" spans="1:14" x14ac:dyDescent="0.3">
      <c r="A520">
        <v>2519</v>
      </c>
      <c r="B520" s="4">
        <v>45487</v>
      </c>
      <c r="C520">
        <v>2024</v>
      </c>
      <c r="D520" t="s">
        <v>23</v>
      </c>
      <c r="E520" t="s">
        <v>37</v>
      </c>
      <c r="F520" t="s">
        <v>58</v>
      </c>
      <c r="G520" t="s">
        <v>68</v>
      </c>
      <c r="H520">
        <v>2</v>
      </c>
      <c r="I520">
        <v>32.21</v>
      </c>
      <c r="J520">
        <v>64.42</v>
      </c>
      <c r="K520">
        <v>23.77</v>
      </c>
      <c r="L520">
        <v>16.88</v>
      </c>
      <c r="M520" t="s">
        <v>74</v>
      </c>
      <c r="N520" t="s">
        <v>79</v>
      </c>
    </row>
    <row r="521" spans="1:14" x14ac:dyDescent="0.3">
      <c r="A521">
        <v>2520</v>
      </c>
      <c r="B521" s="4">
        <v>44854</v>
      </c>
      <c r="C521">
        <v>2022</v>
      </c>
      <c r="D521" t="s">
        <v>20</v>
      </c>
      <c r="E521" t="s">
        <v>32</v>
      </c>
      <c r="F521" t="s">
        <v>48</v>
      </c>
      <c r="G521" t="s">
        <v>68</v>
      </c>
      <c r="H521">
        <v>20</v>
      </c>
      <c r="I521">
        <v>114.26</v>
      </c>
      <c r="J521">
        <v>2285.1999999999998</v>
      </c>
      <c r="K521">
        <v>92.72</v>
      </c>
      <c r="L521">
        <v>430.8</v>
      </c>
      <c r="M521" t="s">
        <v>75</v>
      </c>
      <c r="N521" t="s">
        <v>78</v>
      </c>
    </row>
    <row r="522" spans="1:14" x14ac:dyDescent="0.3">
      <c r="A522">
        <v>2521</v>
      </c>
      <c r="B522" s="4">
        <v>44683</v>
      </c>
      <c r="C522">
        <v>2022</v>
      </c>
      <c r="D522" t="s">
        <v>18</v>
      </c>
      <c r="E522" t="s">
        <v>29</v>
      </c>
      <c r="F522" t="s">
        <v>50</v>
      </c>
      <c r="G522" t="s">
        <v>73</v>
      </c>
      <c r="H522">
        <v>16</v>
      </c>
      <c r="I522">
        <v>113.71</v>
      </c>
      <c r="J522">
        <v>1819.36</v>
      </c>
      <c r="K522">
        <v>90.81</v>
      </c>
      <c r="L522">
        <v>366.4</v>
      </c>
      <c r="M522" t="s">
        <v>74</v>
      </c>
      <c r="N522" t="s">
        <v>79</v>
      </c>
    </row>
    <row r="523" spans="1:14" x14ac:dyDescent="0.3">
      <c r="A523">
        <v>2522</v>
      </c>
      <c r="B523" s="4">
        <v>45148</v>
      </c>
      <c r="C523">
        <v>2023</v>
      </c>
      <c r="D523" t="s">
        <v>15</v>
      </c>
      <c r="E523" t="s">
        <v>28</v>
      </c>
      <c r="F523" t="s">
        <v>54</v>
      </c>
      <c r="G523" t="s">
        <v>72</v>
      </c>
      <c r="H523">
        <v>11</v>
      </c>
      <c r="I523">
        <v>63.74</v>
      </c>
      <c r="J523">
        <v>701.14</v>
      </c>
      <c r="K523">
        <v>49.99</v>
      </c>
      <c r="L523">
        <v>151.25</v>
      </c>
      <c r="M523" t="s">
        <v>75</v>
      </c>
      <c r="N523" t="s">
        <v>79</v>
      </c>
    </row>
    <row r="524" spans="1:14" x14ac:dyDescent="0.3">
      <c r="A524">
        <v>2523</v>
      </c>
      <c r="B524" s="4">
        <v>45069</v>
      </c>
      <c r="C524">
        <v>2023</v>
      </c>
      <c r="D524" t="s">
        <v>18</v>
      </c>
      <c r="E524" t="s">
        <v>29</v>
      </c>
      <c r="F524" t="s">
        <v>51</v>
      </c>
      <c r="G524" t="s">
        <v>69</v>
      </c>
      <c r="H524">
        <v>14</v>
      </c>
      <c r="I524">
        <v>84.9</v>
      </c>
      <c r="J524">
        <v>1188.5999999999999</v>
      </c>
      <c r="K524">
        <v>61.49</v>
      </c>
      <c r="L524">
        <v>327.74</v>
      </c>
      <c r="M524" t="s">
        <v>76</v>
      </c>
      <c r="N524" t="s">
        <v>78</v>
      </c>
    </row>
    <row r="525" spans="1:14" x14ac:dyDescent="0.3">
      <c r="A525">
        <v>2524</v>
      </c>
      <c r="B525" s="4">
        <v>44872</v>
      </c>
      <c r="C525">
        <v>2022</v>
      </c>
      <c r="D525" t="s">
        <v>16</v>
      </c>
      <c r="E525" t="s">
        <v>35</v>
      </c>
      <c r="F525" t="s">
        <v>65</v>
      </c>
      <c r="G525" t="s">
        <v>73</v>
      </c>
      <c r="H525">
        <v>9</v>
      </c>
      <c r="I525">
        <v>93.7</v>
      </c>
      <c r="J525">
        <v>843.3</v>
      </c>
      <c r="K525">
        <v>73.14</v>
      </c>
      <c r="L525">
        <v>185.04</v>
      </c>
      <c r="M525" t="s">
        <v>74</v>
      </c>
      <c r="N525" t="s">
        <v>79</v>
      </c>
    </row>
    <row r="526" spans="1:14" x14ac:dyDescent="0.3">
      <c r="A526">
        <v>2525</v>
      </c>
      <c r="B526" s="4">
        <v>44724</v>
      </c>
      <c r="C526">
        <v>2022</v>
      </c>
      <c r="D526" t="s">
        <v>17</v>
      </c>
      <c r="E526" t="s">
        <v>27</v>
      </c>
      <c r="F526" t="s">
        <v>46</v>
      </c>
      <c r="G526" t="s">
        <v>70</v>
      </c>
      <c r="H526">
        <v>5</v>
      </c>
      <c r="I526">
        <v>135.31</v>
      </c>
      <c r="J526">
        <v>676.55</v>
      </c>
      <c r="K526">
        <v>105.4</v>
      </c>
      <c r="L526">
        <v>149.55000000000001</v>
      </c>
      <c r="M526" t="s">
        <v>75</v>
      </c>
      <c r="N526" t="s">
        <v>77</v>
      </c>
    </row>
    <row r="527" spans="1:14" x14ac:dyDescent="0.3">
      <c r="A527">
        <v>2526</v>
      </c>
      <c r="B527" s="4">
        <v>44709</v>
      </c>
      <c r="C527">
        <v>2022</v>
      </c>
      <c r="D527" t="s">
        <v>16</v>
      </c>
      <c r="E527" t="s">
        <v>35</v>
      </c>
      <c r="F527" t="s">
        <v>53</v>
      </c>
      <c r="G527" t="s">
        <v>69</v>
      </c>
      <c r="H527">
        <v>16</v>
      </c>
      <c r="I527">
        <v>56.01</v>
      </c>
      <c r="J527">
        <v>896.16</v>
      </c>
      <c r="K527">
        <v>43.11</v>
      </c>
      <c r="L527">
        <v>206.4</v>
      </c>
      <c r="M527" t="s">
        <v>76</v>
      </c>
      <c r="N527" t="s">
        <v>78</v>
      </c>
    </row>
    <row r="528" spans="1:14" x14ac:dyDescent="0.3">
      <c r="A528">
        <v>2527</v>
      </c>
      <c r="B528" s="4">
        <v>45606</v>
      </c>
      <c r="C528">
        <v>2024</v>
      </c>
      <c r="D528" t="s">
        <v>18</v>
      </c>
      <c r="E528" t="s">
        <v>29</v>
      </c>
      <c r="F528" t="s">
        <v>44</v>
      </c>
      <c r="G528" t="s">
        <v>68</v>
      </c>
      <c r="H528">
        <v>15</v>
      </c>
      <c r="I528">
        <v>137.97999999999999</v>
      </c>
      <c r="J528">
        <v>2069.6999999999998</v>
      </c>
      <c r="K528">
        <v>103.8</v>
      </c>
      <c r="L528">
        <v>512.70000000000005</v>
      </c>
      <c r="M528" t="s">
        <v>74</v>
      </c>
      <c r="N528" t="s">
        <v>79</v>
      </c>
    </row>
    <row r="529" spans="1:14" x14ac:dyDescent="0.3">
      <c r="A529">
        <v>2528</v>
      </c>
      <c r="B529" s="4">
        <v>44965</v>
      </c>
      <c r="C529">
        <v>2023</v>
      </c>
      <c r="D529" t="s">
        <v>20</v>
      </c>
      <c r="E529" t="s">
        <v>32</v>
      </c>
      <c r="F529" t="s">
        <v>53</v>
      </c>
      <c r="G529" t="s">
        <v>69</v>
      </c>
      <c r="H529">
        <v>6</v>
      </c>
      <c r="I529">
        <v>115.66</v>
      </c>
      <c r="J529">
        <v>693.96</v>
      </c>
      <c r="K529">
        <v>97.45</v>
      </c>
      <c r="L529">
        <v>109.26</v>
      </c>
      <c r="M529" t="s">
        <v>75</v>
      </c>
      <c r="N529" t="s">
        <v>80</v>
      </c>
    </row>
    <row r="530" spans="1:14" x14ac:dyDescent="0.3">
      <c r="A530">
        <v>2529</v>
      </c>
      <c r="B530" s="4">
        <v>44586</v>
      </c>
      <c r="C530">
        <v>2022</v>
      </c>
      <c r="D530" t="s">
        <v>23</v>
      </c>
      <c r="E530" t="s">
        <v>43</v>
      </c>
      <c r="F530" t="s">
        <v>48</v>
      </c>
      <c r="G530" t="s">
        <v>68</v>
      </c>
      <c r="H530">
        <v>1</v>
      </c>
      <c r="I530">
        <v>96.29</v>
      </c>
      <c r="J530">
        <v>96.29</v>
      </c>
      <c r="K530">
        <v>76</v>
      </c>
      <c r="L530">
        <v>20.29</v>
      </c>
      <c r="M530" t="s">
        <v>75</v>
      </c>
      <c r="N530" t="s">
        <v>78</v>
      </c>
    </row>
    <row r="531" spans="1:14" x14ac:dyDescent="0.3">
      <c r="A531">
        <v>2530</v>
      </c>
      <c r="B531" s="4">
        <v>45091</v>
      </c>
      <c r="C531">
        <v>2023</v>
      </c>
      <c r="D531" t="s">
        <v>18</v>
      </c>
      <c r="E531" t="s">
        <v>29</v>
      </c>
      <c r="F531" t="s">
        <v>52</v>
      </c>
      <c r="G531" t="s">
        <v>71</v>
      </c>
      <c r="H531">
        <v>14</v>
      </c>
      <c r="I531">
        <v>185.79</v>
      </c>
      <c r="J531">
        <v>2601.06</v>
      </c>
      <c r="K531">
        <v>114.98</v>
      </c>
      <c r="L531">
        <v>991.34</v>
      </c>
      <c r="M531" t="s">
        <v>76</v>
      </c>
      <c r="N531" t="s">
        <v>77</v>
      </c>
    </row>
    <row r="532" spans="1:14" x14ac:dyDescent="0.3">
      <c r="A532">
        <v>2531</v>
      </c>
      <c r="B532" s="4">
        <v>44921</v>
      </c>
      <c r="C532">
        <v>2022</v>
      </c>
      <c r="D532" t="s">
        <v>18</v>
      </c>
      <c r="E532" t="s">
        <v>29</v>
      </c>
      <c r="F532" t="s">
        <v>49</v>
      </c>
      <c r="G532" t="s">
        <v>72</v>
      </c>
      <c r="H532">
        <v>10</v>
      </c>
      <c r="I532">
        <v>160.44999999999999</v>
      </c>
      <c r="J532">
        <v>1604.5</v>
      </c>
      <c r="K532">
        <v>116.68</v>
      </c>
      <c r="L532">
        <v>437.7</v>
      </c>
      <c r="M532" t="s">
        <v>74</v>
      </c>
      <c r="N532" t="s">
        <v>79</v>
      </c>
    </row>
    <row r="533" spans="1:14" x14ac:dyDescent="0.3">
      <c r="A533">
        <v>2532</v>
      </c>
      <c r="B533" s="4">
        <v>44888</v>
      </c>
      <c r="C533">
        <v>2022</v>
      </c>
      <c r="D533" t="s">
        <v>22</v>
      </c>
      <c r="E533" t="s">
        <v>36</v>
      </c>
      <c r="F533" t="s">
        <v>45</v>
      </c>
      <c r="G533" t="s">
        <v>69</v>
      </c>
      <c r="H533">
        <v>10</v>
      </c>
      <c r="I533">
        <v>161.16</v>
      </c>
      <c r="J533">
        <v>1611.6</v>
      </c>
      <c r="K533">
        <v>122.03</v>
      </c>
      <c r="L533">
        <v>391.3</v>
      </c>
      <c r="M533" t="s">
        <v>76</v>
      </c>
      <c r="N533" t="s">
        <v>77</v>
      </c>
    </row>
    <row r="534" spans="1:14" x14ac:dyDescent="0.3">
      <c r="A534">
        <v>2533</v>
      </c>
      <c r="B534" s="4">
        <v>44975</v>
      </c>
      <c r="C534">
        <v>2023</v>
      </c>
      <c r="D534" t="s">
        <v>15</v>
      </c>
      <c r="E534" t="s">
        <v>25</v>
      </c>
      <c r="F534" t="s">
        <v>56</v>
      </c>
      <c r="G534" t="s">
        <v>70</v>
      </c>
      <c r="H534">
        <v>12</v>
      </c>
      <c r="I534">
        <v>190.44</v>
      </c>
      <c r="J534">
        <v>2285.2800000000002</v>
      </c>
      <c r="K534">
        <v>121.37</v>
      </c>
      <c r="L534">
        <v>828.84</v>
      </c>
      <c r="M534" t="s">
        <v>75</v>
      </c>
      <c r="N534" t="s">
        <v>80</v>
      </c>
    </row>
    <row r="535" spans="1:14" x14ac:dyDescent="0.3">
      <c r="A535">
        <v>2534</v>
      </c>
      <c r="B535" s="4">
        <v>45257</v>
      </c>
      <c r="C535">
        <v>2023</v>
      </c>
      <c r="D535" t="s">
        <v>16</v>
      </c>
      <c r="E535" t="s">
        <v>35</v>
      </c>
      <c r="F535" t="s">
        <v>48</v>
      </c>
      <c r="G535" t="s">
        <v>68</v>
      </c>
      <c r="H535">
        <v>1</v>
      </c>
      <c r="I535">
        <v>188.65</v>
      </c>
      <c r="J535">
        <v>188.65</v>
      </c>
      <c r="K535">
        <v>139.32</v>
      </c>
      <c r="L535">
        <v>49.33</v>
      </c>
      <c r="M535" t="s">
        <v>76</v>
      </c>
      <c r="N535" t="s">
        <v>79</v>
      </c>
    </row>
    <row r="536" spans="1:14" x14ac:dyDescent="0.3">
      <c r="A536">
        <v>2535</v>
      </c>
      <c r="B536" s="4">
        <v>44951</v>
      </c>
      <c r="C536">
        <v>2023</v>
      </c>
      <c r="D536" t="s">
        <v>15</v>
      </c>
      <c r="E536" t="s">
        <v>25</v>
      </c>
      <c r="F536" t="s">
        <v>59</v>
      </c>
      <c r="G536" t="s">
        <v>69</v>
      </c>
      <c r="H536">
        <v>8</v>
      </c>
      <c r="I536">
        <v>127.72</v>
      </c>
      <c r="J536">
        <v>1021.76</v>
      </c>
      <c r="K536">
        <v>92.7</v>
      </c>
      <c r="L536">
        <v>280.16000000000003</v>
      </c>
      <c r="M536" t="s">
        <v>75</v>
      </c>
      <c r="N536" t="s">
        <v>77</v>
      </c>
    </row>
    <row r="537" spans="1:14" x14ac:dyDescent="0.3">
      <c r="A537">
        <v>2536</v>
      </c>
      <c r="B537" s="4">
        <v>45650</v>
      </c>
      <c r="C537">
        <v>2024</v>
      </c>
      <c r="D537" t="s">
        <v>22</v>
      </c>
      <c r="E537" t="s">
        <v>38</v>
      </c>
      <c r="F537" t="s">
        <v>53</v>
      </c>
      <c r="G537" t="s">
        <v>69</v>
      </c>
      <c r="H537">
        <v>16</v>
      </c>
      <c r="I537">
        <v>108.32</v>
      </c>
      <c r="J537">
        <v>1733.12</v>
      </c>
      <c r="K537">
        <v>65.25</v>
      </c>
      <c r="L537">
        <v>689.12</v>
      </c>
      <c r="M537" t="s">
        <v>74</v>
      </c>
      <c r="N537" t="s">
        <v>77</v>
      </c>
    </row>
    <row r="538" spans="1:14" x14ac:dyDescent="0.3">
      <c r="A538">
        <v>2537</v>
      </c>
      <c r="B538" s="4">
        <v>45225</v>
      </c>
      <c r="C538">
        <v>2023</v>
      </c>
      <c r="D538" t="s">
        <v>20</v>
      </c>
      <c r="E538" t="s">
        <v>32</v>
      </c>
      <c r="F538" t="s">
        <v>65</v>
      </c>
      <c r="G538" t="s">
        <v>73</v>
      </c>
      <c r="H538">
        <v>19</v>
      </c>
      <c r="I538">
        <v>86.58</v>
      </c>
      <c r="J538">
        <v>1645.02</v>
      </c>
      <c r="K538">
        <v>76.430000000000007</v>
      </c>
      <c r="L538">
        <v>192.85</v>
      </c>
      <c r="M538" t="s">
        <v>75</v>
      </c>
      <c r="N538" t="s">
        <v>79</v>
      </c>
    </row>
    <row r="539" spans="1:14" x14ac:dyDescent="0.3">
      <c r="A539">
        <v>2538</v>
      </c>
      <c r="B539" s="4">
        <v>45559</v>
      </c>
      <c r="C539">
        <v>2024</v>
      </c>
      <c r="D539" t="s">
        <v>18</v>
      </c>
      <c r="E539" t="s">
        <v>29</v>
      </c>
      <c r="F539" t="s">
        <v>46</v>
      </c>
      <c r="G539" t="s">
        <v>70</v>
      </c>
      <c r="H539">
        <v>7</v>
      </c>
      <c r="I539">
        <v>151.13</v>
      </c>
      <c r="J539">
        <v>1057.9100000000001</v>
      </c>
      <c r="K539">
        <v>94.69</v>
      </c>
      <c r="L539">
        <v>395.08</v>
      </c>
      <c r="M539" t="s">
        <v>76</v>
      </c>
      <c r="N539" t="s">
        <v>80</v>
      </c>
    </row>
    <row r="540" spans="1:14" x14ac:dyDescent="0.3">
      <c r="A540">
        <v>2539</v>
      </c>
      <c r="B540" s="4">
        <v>45635</v>
      </c>
      <c r="C540">
        <v>2024</v>
      </c>
      <c r="D540" t="s">
        <v>14</v>
      </c>
      <c r="E540" t="s">
        <v>24</v>
      </c>
      <c r="F540" t="s">
        <v>57</v>
      </c>
      <c r="G540" t="s">
        <v>73</v>
      </c>
      <c r="H540">
        <v>1</v>
      </c>
      <c r="I540">
        <v>73.319999999999993</v>
      </c>
      <c r="J540">
        <v>73.319999999999993</v>
      </c>
      <c r="K540">
        <v>57.21</v>
      </c>
      <c r="L540">
        <v>16.11</v>
      </c>
      <c r="M540" t="s">
        <v>74</v>
      </c>
      <c r="N540" t="s">
        <v>78</v>
      </c>
    </row>
    <row r="541" spans="1:14" x14ac:dyDescent="0.3">
      <c r="A541">
        <v>2540</v>
      </c>
      <c r="B541" s="4">
        <v>45340</v>
      </c>
      <c r="C541">
        <v>2024</v>
      </c>
      <c r="D541" t="s">
        <v>17</v>
      </c>
      <c r="E541" t="s">
        <v>27</v>
      </c>
      <c r="F541" t="s">
        <v>52</v>
      </c>
      <c r="G541" t="s">
        <v>71</v>
      </c>
      <c r="H541">
        <v>19</v>
      </c>
      <c r="I541">
        <v>126.03</v>
      </c>
      <c r="J541">
        <v>2394.5700000000002</v>
      </c>
      <c r="K541">
        <v>86.09</v>
      </c>
      <c r="L541">
        <v>758.86</v>
      </c>
      <c r="M541" t="s">
        <v>74</v>
      </c>
      <c r="N541" t="s">
        <v>78</v>
      </c>
    </row>
    <row r="542" spans="1:14" x14ac:dyDescent="0.3">
      <c r="A542">
        <v>2541</v>
      </c>
      <c r="B542" s="4">
        <v>44916</v>
      </c>
      <c r="C542">
        <v>2022</v>
      </c>
      <c r="D542" t="s">
        <v>21</v>
      </c>
      <c r="E542" t="s">
        <v>41</v>
      </c>
      <c r="F542" t="s">
        <v>62</v>
      </c>
      <c r="G542" t="s">
        <v>72</v>
      </c>
      <c r="H542">
        <v>6</v>
      </c>
      <c r="I542">
        <v>166.34</v>
      </c>
      <c r="J542">
        <v>998.04</v>
      </c>
      <c r="K542">
        <v>115.26</v>
      </c>
      <c r="L542">
        <v>306.48</v>
      </c>
      <c r="M542" t="s">
        <v>74</v>
      </c>
      <c r="N542" t="s">
        <v>78</v>
      </c>
    </row>
    <row r="543" spans="1:14" x14ac:dyDescent="0.3">
      <c r="A543">
        <v>2542</v>
      </c>
      <c r="B543" s="4">
        <v>45215</v>
      </c>
      <c r="C543">
        <v>2023</v>
      </c>
      <c r="D543" t="s">
        <v>23</v>
      </c>
      <c r="E543" t="s">
        <v>37</v>
      </c>
      <c r="F543" t="s">
        <v>46</v>
      </c>
      <c r="G543" t="s">
        <v>70</v>
      </c>
      <c r="H543">
        <v>17</v>
      </c>
      <c r="I543">
        <v>151.11000000000001</v>
      </c>
      <c r="J543">
        <v>2568.87</v>
      </c>
      <c r="K543">
        <v>120.61</v>
      </c>
      <c r="L543">
        <v>518.5</v>
      </c>
      <c r="M543" t="s">
        <v>76</v>
      </c>
      <c r="N543" t="s">
        <v>80</v>
      </c>
    </row>
    <row r="544" spans="1:14" x14ac:dyDescent="0.3">
      <c r="A544">
        <v>2543</v>
      </c>
      <c r="B544" s="4">
        <v>45355</v>
      </c>
      <c r="C544">
        <v>2024</v>
      </c>
      <c r="D544" t="s">
        <v>19</v>
      </c>
      <c r="E544" t="s">
        <v>39</v>
      </c>
      <c r="F544" t="s">
        <v>54</v>
      </c>
      <c r="G544" t="s">
        <v>72</v>
      </c>
      <c r="H544">
        <v>7</v>
      </c>
      <c r="I544">
        <v>115.66</v>
      </c>
      <c r="J544">
        <v>809.62</v>
      </c>
      <c r="K544">
        <v>102.65</v>
      </c>
      <c r="L544">
        <v>91.07</v>
      </c>
      <c r="M544" t="s">
        <v>76</v>
      </c>
      <c r="N544" t="s">
        <v>80</v>
      </c>
    </row>
    <row r="545" spans="1:14" x14ac:dyDescent="0.3">
      <c r="A545">
        <v>2544</v>
      </c>
      <c r="B545" s="4">
        <v>45264</v>
      </c>
      <c r="C545">
        <v>2023</v>
      </c>
      <c r="D545" t="s">
        <v>14</v>
      </c>
      <c r="E545" t="s">
        <v>24</v>
      </c>
      <c r="F545" t="s">
        <v>48</v>
      </c>
      <c r="G545" t="s">
        <v>68</v>
      </c>
      <c r="H545">
        <v>18</v>
      </c>
      <c r="I545">
        <v>115.63</v>
      </c>
      <c r="J545">
        <v>2081.34</v>
      </c>
      <c r="K545">
        <v>71.760000000000005</v>
      </c>
      <c r="L545">
        <v>789.66</v>
      </c>
      <c r="M545" t="s">
        <v>76</v>
      </c>
      <c r="N545" t="s">
        <v>80</v>
      </c>
    </row>
    <row r="546" spans="1:14" x14ac:dyDescent="0.3">
      <c r="A546">
        <v>2545</v>
      </c>
      <c r="B546" s="4">
        <v>45070</v>
      </c>
      <c r="C546">
        <v>2023</v>
      </c>
      <c r="D546" t="s">
        <v>18</v>
      </c>
      <c r="E546" t="s">
        <v>29</v>
      </c>
      <c r="F546" t="s">
        <v>58</v>
      </c>
      <c r="G546" t="s">
        <v>68</v>
      </c>
      <c r="H546">
        <v>15</v>
      </c>
      <c r="I546">
        <v>28.19</v>
      </c>
      <c r="J546">
        <v>422.85</v>
      </c>
      <c r="K546">
        <v>20.5</v>
      </c>
      <c r="L546">
        <v>115.35</v>
      </c>
      <c r="M546" t="s">
        <v>76</v>
      </c>
      <c r="N546" t="s">
        <v>77</v>
      </c>
    </row>
    <row r="547" spans="1:14" x14ac:dyDescent="0.3">
      <c r="A547">
        <v>2546</v>
      </c>
      <c r="B547" s="4">
        <v>45186</v>
      </c>
      <c r="C547">
        <v>2023</v>
      </c>
      <c r="D547" t="s">
        <v>14</v>
      </c>
      <c r="E547" t="s">
        <v>24</v>
      </c>
      <c r="F547" t="s">
        <v>66</v>
      </c>
      <c r="G547" t="s">
        <v>72</v>
      </c>
      <c r="H547">
        <v>13</v>
      </c>
      <c r="I547">
        <v>142.19</v>
      </c>
      <c r="J547">
        <v>1848.47</v>
      </c>
      <c r="K547">
        <v>89.79</v>
      </c>
      <c r="L547">
        <v>681.2</v>
      </c>
      <c r="M547" t="s">
        <v>76</v>
      </c>
      <c r="N547" t="s">
        <v>78</v>
      </c>
    </row>
    <row r="548" spans="1:14" x14ac:dyDescent="0.3">
      <c r="A548">
        <v>2547</v>
      </c>
      <c r="B548" s="4">
        <v>44607</v>
      </c>
      <c r="C548">
        <v>2022</v>
      </c>
      <c r="D548" t="s">
        <v>17</v>
      </c>
      <c r="E548" t="s">
        <v>34</v>
      </c>
      <c r="F548" t="s">
        <v>45</v>
      </c>
      <c r="G548" t="s">
        <v>69</v>
      </c>
      <c r="H548">
        <v>9</v>
      </c>
      <c r="I548">
        <v>118.82</v>
      </c>
      <c r="J548">
        <v>1069.3800000000001</v>
      </c>
      <c r="K548">
        <v>83.4</v>
      </c>
      <c r="L548">
        <v>318.77999999999997</v>
      </c>
      <c r="M548" t="s">
        <v>75</v>
      </c>
      <c r="N548" t="s">
        <v>80</v>
      </c>
    </row>
    <row r="549" spans="1:14" x14ac:dyDescent="0.3">
      <c r="A549">
        <v>2548</v>
      </c>
      <c r="B549" s="4">
        <v>44758</v>
      </c>
      <c r="C549">
        <v>2022</v>
      </c>
      <c r="D549" t="s">
        <v>23</v>
      </c>
      <c r="E549" t="s">
        <v>37</v>
      </c>
      <c r="F549" t="s">
        <v>64</v>
      </c>
      <c r="G549" t="s">
        <v>70</v>
      </c>
      <c r="H549">
        <v>4</v>
      </c>
      <c r="I549">
        <v>73.67</v>
      </c>
      <c r="J549">
        <v>294.68</v>
      </c>
      <c r="K549">
        <v>64.930000000000007</v>
      </c>
      <c r="L549">
        <v>34.96</v>
      </c>
      <c r="M549" t="s">
        <v>75</v>
      </c>
      <c r="N549" t="s">
        <v>79</v>
      </c>
    </row>
    <row r="550" spans="1:14" x14ac:dyDescent="0.3">
      <c r="A550">
        <v>2549</v>
      </c>
      <c r="B550" s="4">
        <v>45405</v>
      </c>
      <c r="C550">
        <v>2024</v>
      </c>
      <c r="D550" t="s">
        <v>21</v>
      </c>
      <c r="E550" t="s">
        <v>41</v>
      </c>
      <c r="F550" t="s">
        <v>53</v>
      </c>
      <c r="G550" t="s">
        <v>69</v>
      </c>
      <c r="H550">
        <v>8</v>
      </c>
      <c r="I550">
        <v>23</v>
      </c>
      <c r="J550">
        <v>184</v>
      </c>
      <c r="K550">
        <v>19.91</v>
      </c>
      <c r="L550">
        <v>24.72</v>
      </c>
      <c r="M550" t="s">
        <v>76</v>
      </c>
      <c r="N550" t="s">
        <v>80</v>
      </c>
    </row>
    <row r="551" spans="1:14" x14ac:dyDescent="0.3">
      <c r="A551">
        <v>2550</v>
      </c>
      <c r="B551" s="4">
        <v>44789</v>
      </c>
      <c r="C551">
        <v>2022</v>
      </c>
      <c r="D551" t="s">
        <v>18</v>
      </c>
      <c r="E551" t="s">
        <v>29</v>
      </c>
      <c r="F551" t="s">
        <v>47</v>
      </c>
      <c r="G551" t="s">
        <v>71</v>
      </c>
      <c r="H551">
        <v>20</v>
      </c>
      <c r="I551">
        <v>115.69</v>
      </c>
      <c r="J551">
        <v>2313.8000000000002</v>
      </c>
      <c r="K551">
        <v>88.84</v>
      </c>
      <c r="L551">
        <v>537</v>
      </c>
      <c r="M551" t="s">
        <v>75</v>
      </c>
      <c r="N551" t="s">
        <v>79</v>
      </c>
    </row>
    <row r="552" spans="1:14" x14ac:dyDescent="0.3">
      <c r="A552">
        <v>2551</v>
      </c>
      <c r="B552" s="4">
        <v>45371</v>
      </c>
      <c r="C552">
        <v>2024</v>
      </c>
      <c r="D552" t="s">
        <v>20</v>
      </c>
      <c r="E552" t="s">
        <v>32</v>
      </c>
      <c r="F552" t="s">
        <v>63</v>
      </c>
      <c r="G552" t="s">
        <v>70</v>
      </c>
      <c r="H552">
        <v>7</v>
      </c>
      <c r="I552">
        <v>99.97</v>
      </c>
      <c r="J552">
        <v>699.79</v>
      </c>
      <c r="K552">
        <v>86.87</v>
      </c>
      <c r="L552">
        <v>91.7</v>
      </c>
      <c r="M552" t="s">
        <v>74</v>
      </c>
      <c r="N552" t="s">
        <v>77</v>
      </c>
    </row>
    <row r="553" spans="1:14" x14ac:dyDescent="0.3">
      <c r="A553">
        <v>2552</v>
      </c>
      <c r="B553" s="4">
        <v>44755</v>
      </c>
      <c r="C553">
        <v>2022</v>
      </c>
      <c r="D553" t="s">
        <v>20</v>
      </c>
      <c r="E553" t="s">
        <v>32</v>
      </c>
      <c r="F553" t="s">
        <v>58</v>
      </c>
      <c r="G553" t="s">
        <v>68</v>
      </c>
      <c r="H553">
        <v>15</v>
      </c>
      <c r="I553">
        <v>193.81</v>
      </c>
      <c r="J553">
        <v>2907.15</v>
      </c>
      <c r="K553">
        <v>157.87</v>
      </c>
      <c r="L553">
        <v>539.1</v>
      </c>
      <c r="M553" t="s">
        <v>74</v>
      </c>
      <c r="N553" t="s">
        <v>80</v>
      </c>
    </row>
    <row r="554" spans="1:14" x14ac:dyDescent="0.3">
      <c r="A554">
        <v>2553</v>
      </c>
      <c r="B554" s="4">
        <v>44641</v>
      </c>
      <c r="C554">
        <v>2022</v>
      </c>
      <c r="D554" t="s">
        <v>15</v>
      </c>
      <c r="E554" t="s">
        <v>28</v>
      </c>
      <c r="F554" t="s">
        <v>67</v>
      </c>
      <c r="G554" t="s">
        <v>71</v>
      </c>
      <c r="H554">
        <v>4</v>
      </c>
      <c r="I554">
        <v>159.47</v>
      </c>
      <c r="J554">
        <v>637.88</v>
      </c>
      <c r="K554">
        <v>127.87</v>
      </c>
      <c r="L554">
        <v>126.4</v>
      </c>
      <c r="M554" t="s">
        <v>75</v>
      </c>
      <c r="N554" t="s">
        <v>77</v>
      </c>
    </row>
    <row r="555" spans="1:14" x14ac:dyDescent="0.3">
      <c r="A555">
        <v>2554</v>
      </c>
      <c r="B555" s="4">
        <v>45207</v>
      </c>
      <c r="C555">
        <v>2023</v>
      </c>
      <c r="D555" t="s">
        <v>15</v>
      </c>
      <c r="E555" t="s">
        <v>28</v>
      </c>
      <c r="F555" t="s">
        <v>47</v>
      </c>
      <c r="G555" t="s">
        <v>71</v>
      </c>
      <c r="H555">
        <v>6</v>
      </c>
      <c r="I555">
        <v>87.19</v>
      </c>
      <c r="J555">
        <v>523.14</v>
      </c>
      <c r="K555">
        <v>52.75</v>
      </c>
      <c r="L555">
        <v>206.64</v>
      </c>
      <c r="M555" t="s">
        <v>75</v>
      </c>
      <c r="N555" t="s">
        <v>78</v>
      </c>
    </row>
    <row r="556" spans="1:14" x14ac:dyDescent="0.3">
      <c r="A556">
        <v>2555</v>
      </c>
      <c r="B556" s="4">
        <v>44616</v>
      </c>
      <c r="C556">
        <v>2022</v>
      </c>
      <c r="D556" t="s">
        <v>21</v>
      </c>
      <c r="E556" t="s">
        <v>41</v>
      </c>
      <c r="F556" t="s">
        <v>63</v>
      </c>
      <c r="G556" t="s">
        <v>70</v>
      </c>
      <c r="H556">
        <v>20</v>
      </c>
      <c r="I556">
        <v>107.94</v>
      </c>
      <c r="J556">
        <v>2158.8000000000002</v>
      </c>
      <c r="K556">
        <v>66.61</v>
      </c>
      <c r="L556">
        <v>826.6</v>
      </c>
      <c r="M556" t="s">
        <v>75</v>
      </c>
      <c r="N556" t="s">
        <v>77</v>
      </c>
    </row>
    <row r="557" spans="1:14" x14ac:dyDescent="0.3">
      <c r="A557">
        <v>2556</v>
      </c>
      <c r="B557" s="4">
        <v>45386</v>
      </c>
      <c r="C557">
        <v>2024</v>
      </c>
      <c r="D557" t="s">
        <v>14</v>
      </c>
      <c r="E557" t="s">
        <v>30</v>
      </c>
      <c r="F557" t="s">
        <v>62</v>
      </c>
      <c r="G557" t="s">
        <v>72</v>
      </c>
      <c r="H557">
        <v>4</v>
      </c>
      <c r="I557">
        <v>134</v>
      </c>
      <c r="J557">
        <v>536</v>
      </c>
      <c r="K557">
        <v>106.93</v>
      </c>
      <c r="L557">
        <v>108.28</v>
      </c>
      <c r="M557" t="s">
        <v>75</v>
      </c>
      <c r="N557" t="s">
        <v>79</v>
      </c>
    </row>
    <row r="558" spans="1:14" x14ac:dyDescent="0.3">
      <c r="A558">
        <v>2557</v>
      </c>
      <c r="B558" s="4">
        <v>45089</v>
      </c>
      <c r="C558">
        <v>2023</v>
      </c>
      <c r="D558" t="s">
        <v>22</v>
      </c>
      <c r="E558" t="s">
        <v>38</v>
      </c>
      <c r="F558" t="s">
        <v>63</v>
      </c>
      <c r="G558" t="s">
        <v>70</v>
      </c>
      <c r="H558">
        <v>11</v>
      </c>
      <c r="I558">
        <v>163.38</v>
      </c>
      <c r="J558">
        <v>1797.18</v>
      </c>
      <c r="K558">
        <v>135.82</v>
      </c>
      <c r="L558">
        <v>303.16000000000003</v>
      </c>
      <c r="M558" t="s">
        <v>75</v>
      </c>
      <c r="N558" t="s">
        <v>78</v>
      </c>
    </row>
    <row r="559" spans="1:14" x14ac:dyDescent="0.3">
      <c r="A559">
        <v>2558</v>
      </c>
      <c r="B559" s="4">
        <v>45308</v>
      </c>
      <c r="C559">
        <v>2024</v>
      </c>
      <c r="D559" t="s">
        <v>19</v>
      </c>
      <c r="E559" t="s">
        <v>31</v>
      </c>
      <c r="F559" t="s">
        <v>54</v>
      </c>
      <c r="G559" t="s">
        <v>72</v>
      </c>
      <c r="H559">
        <v>5</v>
      </c>
      <c r="I559">
        <v>150.53</v>
      </c>
      <c r="J559">
        <v>752.65</v>
      </c>
      <c r="K559">
        <v>110.19</v>
      </c>
      <c r="L559">
        <v>201.7</v>
      </c>
      <c r="M559" t="s">
        <v>76</v>
      </c>
      <c r="N559" t="s">
        <v>80</v>
      </c>
    </row>
    <row r="560" spans="1:14" x14ac:dyDescent="0.3">
      <c r="A560">
        <v>2559</v>
      </c>
      <c r="B560" s="4">
        <v>44897</v>
      </c>
      <c r="C560">
        <v>2022</v>
      </c>
      <c r="D560" t="s">
        <v>22</v>
      </c>
      <c r="E560" t="s">
        <v>38</v>
      </c>
      <c r="F560" t="s">
        <v>61</v>
      </c>
      <c r="G560" t="s">
        <v>68</v>
      </c>
      <c r="H560">
        <v>3</v>
      </c>
      <c r="I560">
        <v>165.8</v>
      </c>
      <c r="J560">
        <v>497.4</v>
      </c>
      <c r="K560">
        <v>138.99</v>
      </c>
      <c r="L560">
        <v>80.430000000000007</v>
      </c>
      <c r="M560" t="s">
        <v>75</v>
      </c>
      <c r="N560" t="s">
        <v>79</v>
      </c>
    </row>
    <row r="561" spans="1:14" x14ac:dyDescent="0.3">
      <c r="A561">
        <v>2560</v>
      </c>
      <c r="B561" s="4">
        <v>44589</v>
      </c>
      <c r="C561">
        <v>2022</v>
      </c>
      <c r="D561" t="s">
        <v>21</v>
      </c>
      <c r="E561" t="s">
        <v>41</v>
      </c>
      <c r="F561" t="s">
        <v>67</v>
      </c>
      <c r="G561" t="s">
        <v>71</v>
      </c>
      <c r="H561">
        <v>2</v>
      </c>
      <c r="I561">
        <v>181.98</v>
      </c>
      <c r="J561">
        <v>363.96</v>
      </c>
      <c r="K561">
        <v>159.02000000000001</v>
      </c>
      <c r="L561">
        <v>45.92</v>
      </c>
      <c r="M561" t="s">
        <v>76</v>
      </c>
      <c r="N561" t="s">
        <v>79</v>
      </c>
    </row>
    <row r="562" spans="1:14" x14ac:dyDescent="0.3">
      <c r="A562">
        <v>2561</v>
      </c>
      <c r="B562" s="4">
        <v>45508</v>
      </c>
      <c r="C562">
        <v>2024</v>
      </c>
      <c r="D562" t="s">
        <v>14</v>
      </c>
      <c r="E562" t="s">
        <v>30</v>
      </c>
      <c r="F562" t="s">
        <v>61</v>
      </c>
      <c r="G562" t="s">
        <v>68</v>
      </c>
      <c r="H562">
        <v>10</v>
      </c>
      <c r="I562">
        <v>25.2</v>
      </c>
      <c r="J562">
        <v>252</v>
      </c>
      <c r="K562">
        <v>20.71</v>
      </c>
      <c r="L562">
        <v>44.9</v>
      </c>
      <c r="M562" t="s">
        <v>74</v>
      </c>
      <c r="N562" t="s">
        <v>80</v>
      </c>
    </row>
    <row r="563" spans="1:14" x14ac:dyDescent="0.3">
      <c r="A563">
        <v>2562</v>
      </c>
      <c r="B563" s="4">
        <v>44869</v>
      </c>
      <c r="C563">
        <v>2022</v>
      </c>
      <c r="D563" t="s">
        <v>15</v>
      </c>
      <c r="E563" t="s">
        <v>25</v>
      </c>
      <c r="F563" t="s">
        <v>55</v>
      </c>
      <c r="G563" t="s">
        <v>71</v>
      </c>
      <c r="H563">
        <v>17</v>
      </c>
      <c r="I563">
        <v>73.59</v>
      </c>
      <c r="J563">
        <v>1251.03</v>
      </c>
      <c r="K563">
        <v>60.01</v>
      </c>
      <c r="L563">
        <v>230.86</v>
      </c>
      <c r="M563" t="s">
        <v>74</v>
      </c>
      <c r="N563" t="s">
        <v>80</v>
      </c>
    </row>
    <row r="564" spans="1:14" x14ac:dyDescent="0.3">
      <c r="A564">
        <v>2563</v>
      </c>
      <c r="B564" s="4">
        <v>45403</v>
      </c>
      <c r="C564">
        <v>2024</v>
      </c>
      <c r="D564" t="s">
        <v>14</v>
      </c>
      <c r="E564" t="s">
        <v>24</v>
      </c>
      <c r="F564" t="s">
        <v>63</v>
      </c>
      <c r="G564" t="s">
        <v>70</v>
      </c>
      <c r="H564">
        <v>11</v>
      </c>
      <c r="I564">
        <v>148.55000000000001</v>
      </c>
      <c r="J564">
        <v>1634.05</v>
      </c>
      <c r="K564">
        <v>99.54</v>
      </c>
      <c r="L564">
        <v>539.11</v>
      </c>
      <c r="M564" t="s">
        <v>74</v>
      </c>
      <c r="N564" t="s">
        <v>80</v>
      </c>
    </row>
    <row r="565" spans="1:14" x14ac:dyDescent="0.3">
      <c r="A565">
        <v>2564</v>
      </c>
      <c r="B565" s="4">
        <v>44626</v>
      </c>
      <c r="C565">
        <v>2022</v>
      </c>
      <c r="D565" t="s">
        <v>23</v>
      </c>
      <c r="E565" t="s">
        <v>43</v>
      </c>
      <c r="F565" t="s">
        <v>46</v>
      </c>
      <c r="G565" t="s">
        <v>70</v>
      </c>
      <c r="H565">
        <v>3</v>
      </c>
      <c r="I565">
        <v>92.82</v>
      </c>
      <c r="J565">
        <v>278.45999999999998</v>
      </c>
      <c r="K565">
        <v>74.290000000000006</v>
      </c>
      <c r="L565">
        <v>55.59</v>
      </c>
      <c r="M565" t="s">
        <v>74</v>
      </c>
      <c r="N565" t="s">
        <v>78</v>
      </c>
    </row>
    <row r="566" spans="1:14" x14ac:dyDescent="0.3">
      <c r="A566">
        <v>2565</v>
      </c>
      <c r="B566" s="4">
        <v>44916</v>
      </c>
      <c r="C566">
        <v>2022</v>
      </c>
      <c r="D566" t="s">
        <v>17</v>
      </c>
      <c r="E566" t="s">
        <v>27</v>
      </c>
      <c r="F566" t="s">
        <v>54</v>
      </c>
      <c r="G566" t="s">
        <v>72</v>
      </c>
      <c r="H566">
        <v>13</v>
      </c>
      <c r="I566">
        <v>169.5</v>
      </c>
      <c r="J566">
        <v>2203.5</v>
      </c>
      <c r="K566">
        <v>135.87</v>
      </c>
      <c r="L566">
        <v>437.19</v>
      </c>
      <c r="M566" t="s">
        <v>76</v>
      </c>
      <c r="N566" t="s">
        <v>80</v>
      </c>
    </row>
    <row r="567" spans="1:14" x14ac:dyDescent="0.3">
      <c r="A567">
        <v>2566</v>
      </c>
      <c r="B567" s="4">
        <v>44922</v>
      </c>
      <c r="C567">
        <v>2022</v>
      </c>
      <c r="D567" t="s">
        <v>23</v>
      </c>
      <c r="E567" t="s">
        <v>37</v>
      </c>
      <c r="F567" t="s">
        <v>61</v>
      </c>
      <c r="G567" t="s">
        <v>68</v>
      </c>
      <c r="H567">
        <v>12</v>
      </c>
      <c r="I567">
        <v>84.15</v>
      </c>
      <c r="J567">
        <v>1009.8</v>
      </c>
      <c r="K567">
        <v>64.459999999999994</v>
      </c>
      <c r="L567">
        <v>236.28</v>
      </c>
      <c r="M567" t="s">
        <v>76</v>
      </c>
      <c r="N567" t="s">
        <v>80</v>
      </c>
    </row>
    <row r="568" spans="1:14" x14ac:dyDescent="0.3">
      <c r="A568">
        <v>2567</v>
      </c>
      <c r="B568" s="4">
        <v>44950</v>
      </c>
      <c r="C568">
        <v>2023</v>
      </c>
      <c r="D568" t="s">
        <v>18</v>
      </c>
      <c r="E568" t="s">
        <v>29</v>
      </c>
      <c r="F568" t="s">
        <v>52</v>
      </c>
      <c r="G568" t="s">
        <v>71</v>
      </c>
      <c r="H568">
        <v>7</v>
      </c>
      <c r="I568">
        <v>179.04</v>
      </c>
      <c r="J568">
        <v>1253.28</v>
      </c>
      <c r="K568">
        <v>136.47999999999999</v>
      </c>
      <c r="L568">
        <v>297.92</v>
      </c>
      <c r="M568" t="s">
        <v>74</v>
      </c>
      <c r="N568" t="s">
        <v>80</v>
      </c>
    </row>
    <row r="569" spans="1:14" x14ac:dyDescent="0.3">
      <c r="A569">
        <v>2568</v>
      </c>
      <c r="B569" s="4">
        <v>45253</v>
      </c>
      <c r="C569">
        <v>2023</v>
      </c>
      <c r="D569" t="s">
        <v>16</v>
      </c>
      <c r="E569" t="s">
        <v>26</v>
      </c>
      <c r="F569" t="s">
        <v>56</v>
      </c>
      <c r="G569" t="s">
        <v>70</v>
      </c>
      <c r="H569">
        <v>12</v>
      </c>
      <c r="I569">
        <v>111.2</v>
      </c>
      <c r="J569">
        <v>1334.4</v>
      </c>
      <c r="K569">
        <v>75.61</v>
      </c>
      <c r="L569">
        <v>427.08</v>
      </c>
      <c r="M569" t="s">
        <v>75</v>
      </c>
      <c r="N569" t="s">
        <v>79</v>
      </c>
    </row>
    <row r="570" spans="1:14" x14ac:dyDescent="0.3">
      <c r="A570">
        <v>2569</v>
      </c>
      <c r="B570" s="4">
        <v>45192</v>
      </c>
      <c r="C570">
        <v>2023</v>
      </c>
      <c r="D570" t="s">
        <v>21</v>
      </c>
      <c r="E570" t="s">
        <v>33</v>
      </c>
      <c r="F570" t="s">
        <v>47</v>
      </c>
      <c r="G570" t="s">
        <v>71</v>
      </c>
      <c r="H570">
        <v>6</v>
      </c>
      <c r="I570">
        <v>67.14</v>
      </c>
      <c r="J570">
        <v>402.84</v>
      </c>
      <c r="K570">
        <v>55.6</v>
      </c>
      <c r="L570">
        <v>69.239999999999995</v>
      </c>
      <c r="M570" t="s">
        <v>76</v>
      </c>
      <c r="N570" t="s">
        <v>79</v>
      </c>
    </row>
    <row r="571" spans="1:14" x14ac:dyDescent="0.3">
      <c r="A571">
        <v>2570</v>
      </c>
      <c r="B571" s="4">
        <v>44748</v>
      </c>
      <c r="C571">
        <v>2022</v>
      </c>
      <c r="D571" t="s">
        <v>17</v>
      </c>
      <c r="E571" t="s">
        <v>27</v>
      </c>
      <c r="F571" t="s">
        <v>55</v>
      </c>
      <c r="G571" t="s">
        <v>71</v>
      </c>
      <c r="H571">
        <v>13</v>
      </c>
      <c r="I571">
        <v>65.66</v>
      </c>
      <c r="J571">
        <v>853.58</v>
      </c>
      <c r="K571">
        <v>39.9</v>
      </c>
      <c r="L571">
        <v>334.88</v>
      </c>
      <c r="M571" t="s">
        <v>75</v>
      </c>
      <c r="N571" t="s">
        <v>79</v>
      </c>
    </row>
    <row r="572" spans="1:14" x14ac:dyDescent="0.3">
      <c r="A572">
        <v>2571</v>
      </c>
      <c r="B572" s="4">
        <v>45087</v>
      </c>
      <c r="C572">
        <v>2023</v>
      </c>
      <c r="D572" t="s">
        <v>21</v>
      </c>
      <c r="E572" t="s">
        <v>33</v>
      </c>
      <c r="F572" t="s">
        <v>46</v>
      </c>
      <c r="G572" t="s">
        <v>70</v>
      </c>
      <c r="H572">
        <v>15</v>
      </c>
      <c r="I572">
        <v>116.56</v>
      </c>
      <c r="J572">
        <v>1748.4</v>
      </c>
      <c r="K572">
        <v>75.67</v>
      </c>
      <c r="L572">
        <v>613.35</v>
      </c>
      <c r="M572" t="s">
        <v>74</v>
      </c>
      <c r="N572" t="s">
        <v>79</v>
      </c>
    </row>
    <row r="573" spans="1:14" x14ac:dyDescent="0.3">
      <c r="A573">
        <v>2572</v>
      </c>
      <c r="B573" s="4">
        <v>45217</v>
      </c>
      <c r="C573">
        <v>2023</v>
      </c>
      <c r="D573" t="s">
        <v>23</v>
      </c>
      <c r="E573" t="s">
        <v>43</v>
      </c>
      <c r="F573" t="s">
        <v>58</v>
      </c>
      <c r="G573" t="s">
        <v>68</v>
      </c>
      <c r="H573">
        <v>14</v>
      </c>
      <c r="I573">
        <v>163.57</v>
      </c>
      <c r="J573">
        <v>2289.98</v>
      </c>
      <c r="K573">
        <v>144.24</v>
      </c>
      <c r="L573">
        <v>270.62</v>
      </c>
      <c r="M573" t="s">
        <v>75</v>
      </c>
      <c r="N573" t="s">
        <v>77</v>
      </c>
    </row>
    <row r="574" spans="1:14" x14ac:dyDescent="0.3">
      <c r="A574">
        <v>2573</v>
      </c>
      <c r="B574" s="4">
        <v>44811</v>
      </c>
      <c r="C574">
        <v>2022</v>
      </c>
      <c r="D574" t="s">
        <v>21</v>
      </c>
      <c r="E574" t="s">
        <v>41</v>
      </c>
      <c r="F574" t="s">
        <v>55</v>
      </c>
      <c r="G574" t="s">
        <v>71</v>
      </c>
      <c r="H574">
        <v>12</v>
      </c>
      <c r="I574">
        <v>125.21</v>
      </c>
      <c r="J574">
        <v>1502.52</v>
      </c>
      <c r="K574">
        <v>101.72</v>
      </c>
      <c r="L574">
        <v>281.88</v>
      </c>
      <c r="M574" t="s">
        <v>74</v>
      </c>
      <c r="N574" t="s">
        <v>80</v>
      </c>
    </row>
    <row r="575" spans="1:14" x14ac:dyDescent="0.3">
      <c r="A575">
        <v>2574</v>
      </c>
      <c r="B575" s="4">
        <v>45281</v>
      </c>
      <c r="C575">
        <v>2023</v>
      </c>
      <c r="D575" t="s">
        <v>23</v>
      </c>
      <c r="E575" t="s">
        <v>37</v>
      </c>
      <c r="F575" t="s">
        <v>53</v>
      </c>
      <c r="G575" t="s">
        <v>69</v>
      </c>
      <c r="H575">
        <v>11</v>
      </c>
      <c r="I575">
        <v>23.26</v>
      </c>
      <c r="J575">
        <v>255.86</v>
      </c>
      <c r="K575">
        <v>19.91</v>
      </c>
      <c r="L575">
        <v>36.85</v>
      </c>
      <c r="M575" t="s">
        <v>74</v>
      </c>
      <c r="N575" t="s">
        <v>77</v>
      </c>
    </row>
    <row r="576" spans="1:14" x14ac:dyDescent="0.3">
      <c r="A576">
        <v>2575</v>
      </c>
      <c r="B576" s="4">
        <v>44667</v>
      </c>
      <c r="C576">
        <v>2022</v>
      </c>
      <c r="D576" t="s">
        <v>21</v>
      </c>
      <c r="E576" t="s">
        <v>33</v>
      </c>
      <c r="F576" t="s">
        <v>54</v>
      </c>
      <c r="G576" t="s">
        <v>72</v>
      </c>
      <c r="H576">
        <v>16</v>
      </c>
      <c r="I576">
        <v>78.41</v>
      </c>
      <c r="J576">
        <v>1254.56</v>
      </c>
      <c r="K576">
        <v>65.88</v>
      </c>
      <c r="L576">
        <v>200.48</v>
      </c>
      <c r="M576" t="s">
        <v>75</v>
      </c>
      <c r="N576" t="s">
        <v>77</v>
      </c>
    </row>
    <row r="577" spans="1:14" x14ac:dyDescent="0.3">
      <c r="A577">
        <v>2576</v>
      </c>
      <c r="B577" s="4">
        <v>45078</v>
      </c>
      <c r="C577">
        <v>2023</v>
      </c>
      <c r="D577" t="s">
        <v>23</v>
      </c>
      <c r="E577" t="s">
        <v>43</v>
      </c>
      <c r="F577" t="s">
        <v>46</v>
      </c>
      <c r="G577" t="s">
        <v>70</v>
      </c>
      <c r="H577">
        <v>15</v>
      </c>
      <c r="I577">
        <v>109.78</v>
      </c>
      <c r="J577">
        <v>1646.7</v>
      </c>
      <c r="K577">
        <v>86.8</v>
      </c>
      <c r="L577">
        <v>344.7</v>
      </c>
      <c r="M577" t="s">
        <v>74</v>
      </c>
      <c r="N577" t="s">
        <v>79</v>
      </c>
    </row>
    <row r="578" spans="1:14" x14ac:dyDescent="0.3">
      <c r="A578">
        <v>2577</v>
      </c>
      <c r="B578" s="4">
        <v>44608</v>
      </c>
      <c r="C578">
        <v>2022</v>
      </c>
      <c r="D578" t="s">
        <v>20</v>
      </c>
      <c r="E578" t="s">
        <v>40</v>
      </c>
      <c r="F578" t="s">
        <v>56</v>
      </c>
      <c r="G578" t="s">
        <v>70</v>
      </c>
      <c r="H578">
        <v>6</v>
      </c>
      <c r="I578">
        <v>94.03</v>
      </c>
      <c r="J578">
        <v>564.17999999999995</v>
      </c>
      <c r="K578">
        <v>61.15</v>
      </c>
      <c r="L578">
        <v>197.28</v>
      </c>
      <c r="M578" t="s">
        <v>76</v>
      </c>
      <c r="N578" t="s">
        <v>79</v>
      </c>
    </row>
    <row r="579" spans="1:14" x14ac:dyDescent="0.3">
      <c r="A579">
        <v>2578</v>
      </c>
      <c r="B579" s="4">
        <v>44685</v>
      </c>
      <c r="C579">
        <v>2022</v>
      </c>
      <c r="D579" t="s">
        <v>14</v>
      </c>
      <c r="E579" t="s">
        <v>24</v>
      </c>
      <c r="F579" t="s">
        <v>54</v>
      </c>
      <c r="G579" t="s">
        <v>72</v>
      </c>
      <c r="H579">
        <v>1</v>
      </c>
      <c r="I579">
        <v>113.27</v>
      </c>
      <c r="J579">
        <v>113.27</v>
      </c>
      <c r="K579">
        <v>89.13</v>
      </c>
      <c r="L579">
        <v>24.14</v>
      </c>
      <c r="M579" t="s">
        <v>75</v>
      </c>
      <c r="N579" t="s">
        <v>77</v>
      </c>
    </row>
    <row r="580" spans="1:14" x14ac:dyDescent="0.3">
      <c r="A580">
        <v>2579</v>
      </c>
      <c r="B580" s="4">
        <v>44764</v>
      </c>
      <c r="C580">
        <v>2022</v>
      </c>
      <c r="D580" t="s">
        <v>15</v>
      </c>
      <c r="E580" t="s">
        <v>28</v>
      </c>
      <c r="F580" t="s">
        <v>62</v>
      </c>
      <c r="G580" t="s">
        <v>72</v>
      </c>
      <c r="H580">
        <v>9</v>
      </c>
      <c r="I580">
        <v>93.82</v>
      </c>
      <c r="J580">
        <v>844.38</v>
      </c>
      <c r="K580">
        <v>65</v>
      </c>
      <c r="L580">
        <v>259.38</v>
      </c>
      <c r="M580" t="s">
        <v>76</v>
      </c>
      <c r="N580" t="s">
        <v>80</v>
      </c>
    </row>
    <row r="581" spans="1:14" x14ac:dyDescent="0.3">
      <c r="A581">
        <v>2580</v>
      </c>
      <c r="B581" s="4">
        <v>45548</v>
      </c>
      <c r="C581">
        <v>2024</v>
      </c>
      <c r="D581" t="s">
        <v>20</v>
      </c>
      <c r="E581" t="s">
        <v>32</v>
      </c>
      <c r="F581" t="s">
        <v>62</v>
      </c>
      <c r="G581" t="s">
        <v>72</v>
      </c>
      <c r="H581">
        <v>6</v>
      </c>
      <c r="I581">
        <v>49.14</v>
      </c>
      <c r="J581">
        <v>294.83999999999997</v>
      </c>
      <c r="K581">
        <v>42.75</v>
      </c>
      <c r="L581">
        <v>38.340000000000003</v>
      </c>
      <c r="M581" t="s">
        <v>75</v>
      </c>
      <c r="N581" t="s">
        <v>79</v>
      </c>
    </row>
    <row r="582" spans="1:14" x14ac:dyDescent="0.3">
      <c r="A582">
        <v>2581</v>
      </c>
      <c r="B582" s="4">
        <v>45221</v>
      </c>
      <c r="C582">
        <v>2023</v>
      </c>
      <c r="D582" t="s">
        <v>14</v>
      </c>
      <c r="E582" t="s">
        <v>30</v>
      </c>
      <c r="F582" t="s">
        <v>55</v>
      </c>
      <c r="G582" t="s">
        <v>71</v>
      </c>
      <c r="H582">
        <v>1</v>
      </c>
      <c r="I582">
        <v>97.25</v>
      </c>
      <c r="J582">
        <v>97.25</v>
      </c>
      <c r="K582">
        <v>70.23</v>
      </c>
      <c r="L582">
        <v>27.02</v>
      </c>
      <c r="M582" t="s">
        <v>74</v>
      </c>
      <c r="N582" t="s">
        <v>79</v>
      </c>
    </row>
    <row r="583" spans="1:14" x14ac:dyDescent="0.3">
      <c r="A583">
        <v>2582</v>
      </c>
      <c r="B583" s="4">
        <v>45140</v>
      </c>
      <c r="C583">
        <v>2023</v>
      </c>
      <c r="D583" t="s">
        <v>14</v>
      </c>
      <c r="E583" t="s">
        <v>30</v>
      </c>
      <c r="F583" t="s">
        <v>62</v>
      </c>
      <c r="G583" t="s">
        <v>72</v>
      </c>
      <c r="H583">
        <v>15</v>
      </c>
      <c r="I583">
        <v>23.28</v>
      </c>
      <c r="J583">
        <v>349.2</v>
      </c>
      <c r="K583">
        <v>19.3</v>
      </c>
      <c r="L583">
        <v>59.7</v>
      </c>
      <c r="M583" t="s">
        <v>75</v>
      </c>
      <c r="N583" t="s">
        <v>77</v>
      </c>
    </row>
    <row r="584" spans="1:14" x14ac:dyDescent="0.3">
      <c r="A584">
        <v>2583</v>
      </c>
      <c r="B584" s="4">
        <v>45613</v>
      </c>
      <c r="C584">
        <v>2024</v>
      </c>
      <c r="D584" t="s">
        <v>15</v>
      </c>
      <c r="E584" t="s">
        <v>28</v>
      </c>
      <c r="F584" t="s">
        <v>55</v>
      </c>
      <c r="G584" t="s">
        <v>71</v>
      </c>
      <c r="H584">
        <v>19</v>
      </c>
      <c r="I584">
        <v>130.69</v>
      </c>
      <c r="J584">
        <v>2483.11</v>
      </c>
      <c r="K584">
        <v>78.489999999999995</v>
      </c>
      <c r="L584">
        <v>991.8</v>
      </c>
      <c r="M584" t="s">
        <v>75</v>
      </c>
      <c r="N584" t="s">
        <v>80</v>
      </c>
    </row>
    <row r="585" spans="1:14" x14ac:dyDescent="0.3">
      <c r="A585">
        <v>2584</v>
      </c>
      <c r="B585" s="4">
        <v>45325</v>
      </c>
      <c r="C585">
        <v>2024</v>
      </c>
      <c r="D585" t="s">
        <v>20</v>
      </c>
      <c r="E585" t="s">
        <v>40</v>
      </c>
      <c r="F585" t="s">
        <v>48</v>
      </c>
      <c r="G585" t="s">
        <v>68</v>
      </c>
      <c r="H585">
        <v>19</v>
      </c>
      <c r="I585">
        <v>132.76</v>
      </c>
      <c r="J585">
        <v>2522.44</v>
      </c>
      <c r="K585">
        <v>104.78</v>
      </c>
      <c r="L585">
        <v>531.62</v>
      </c>
      <c r="M585" t="s">
        <v>75</v>
      </c>
      <c r="N585" t="s">
        <v>80</v>
      </c>
    </row>
    <row r="586" spans="1:14" x14ac:dyDescent="0.3">
      <c r="A586">
        <v>2585</v>
      </c>
      <c r="B586" s="4">
        <v>45328</v>
      </c>
      <c r="C586">
        <v>2024</v>
      </c>
      <c r="D586" t="s">
        <v>14</v>
      </c>
      <c r="E586" t="s">
        <v>30</v>
      </c>
      <c r="F586" t="s">
        <v>60</v>
      </c>
      <c r="G586" t="s">
        <v>73</v>
      </c>
      <c r="H586">
        <v>1</v>
      </c>
      <c r="I586">
        <v>134.56</v>
      </c>
      <c r="J586">
        <v>134.56</v>
      </c>
      <c r="K586">
        <v>115.92</v>
      </c>
      <c r="L586">
        <v>18.64</v>
      </c>
      <c r="M586" t="s">
        <v>75</v>
      </c>
      <c r="N586" t="s">
        <v>80</v>
      </c>
    </row>
    <row r="587" spans="1:14" x14ac:dyDescent="0.3">
      <c r="A587">
        <v>2586</v>
      </c>
      <c r="B587" s="4">
        <v>45078</v>
      </c>
      <c r="C587">
        <v>2023</v>
      </c>
      <c r="D587" t="s">
        <v>21</v>
      </c>
      <c r="E587" t="s">
        <v>33</v>
      </c>
      <c r="F587" t="s">
        <v>53</v>
      </c>
      <c r="G587" t="s">
        <v>69</v>
      </c>
      <c r="H587">
        <v>17</v>
      </c>
      <c r="I587">
        <v>73.56</v>
      </c>
      <c r="J587">
        <v>1250.52</v>
      </c>
      <c r="K587">
        <v>52.5</v>
      </c>
      <c r="L587">
        <v>358.02</v>
      </c>
      <c r="M587" t="s">
        <v>76</v>
      </c>
      <c r="N587" t="s">
        <v>80</v>
      </c>
    </row>
    <row r="588" spans="1:14" x14ac:dyDescent="0.3">
      <c r="A588">
        <v>2587</v>
      </c>
      <c r="B588" s="4">
        <v>45000</v>
      </c>
      <c r="C588">
        <v>2023</v>
      </c>
      <c r="D588" t="s">
        <v>16</v>
      </c>
      <c r="E588" t="s">
        <v>26</v>
      </c>
      <c r="F588" t="s">
        <v>65</v>
      </c>
      <c r="G588" t="s">
        <v>73</v>
      </c>
      <c r="H588">
        <v>10</v>
      </c>
      <c r="I588">
        <v>22.22</v>
      </c>
      <c r="J588">
        <v>222.2</v>
      </c>
      <c r="K588">
        <v>16.420000000000002</v>
      </c>
      <c r="L588">
        <v>58</v>
      </c>
      <c r="M588" t="s">
        <v>74</v>
      </c>
      <c r="N588" t="s">
        <v>80</v>
      </c>
    </row>
    <row r="589" spans="1:14" x14ac:dyDescent="0.3">
      <c r="A589">
        <v>2588</v>
      </c>
      <c r="B589" s="4">
        <v>44856</v>
      </c>
      <c r="C589">
        <v>2022</v>
      </c>
      <c r="D589" t="s">
        <v>14</v>
      </c>
      <c r="E589" t="s">
        <v>30</v>
      </c>
      <c r="F589" t="s">
        <v>44</v>
      </c>
      <c r="G589" t="s">
        <v>68</v>
      </c>
      <c r="H589">
        <v>1</v>
      </c>
      <c r="I589">
        <v>167.41</v>
      </c>
      <c r="J589">
        <v>167.41</v>
      </c>
      <c r="K589">
        <v>127.23</v>
      </c>
      <c r="L589">
        <v>40.18</v>
      </c>
      <c r="M589" t="s">
        <v>75</v>
      </c>
      <c r="N589" t="s">
        <v>77</v>
      </c>
    </row>
    <row r="590" spans="1:14" x14ac:dyDescent="0.3">
      <c r="A590">
        <v>2589</v>
      </c>
      <c r="B590" s="4">
        <v>45116</v>
      </c>
      <c r="C590">
        <v>2023</v>
      </c>
      <c r="D590" t="s">
        <v>23</v>
      </c>
      <c r="E590" t="s">
        <v>43</v>
      </c>
      <c r="F590" t="s">
        <v>64</v>
      </c>
      <c r="G590" t="s">
        <v>70</v>
      </c>
      <c r="H590">
        <v>4</v>
      </c>
      <c r="I590">
        <v>79.28</v>
      </c>
      <c r="J590">
        <v>317.12</v>
      </c>
      <c r="K590">
        <v>69.27</v>
      </c>
      <c r="L590">
        <v>40.04</v>
      </c>
      <c r="M590" t="s">
        <v>74</v>
      </c>
      <c r="N590" t="s">
        <v>80</v>
      </c>
    </row>
    <row r="591" spans="1:14" x14ac:dyDescent="0.3">
      <c r="A591">
        <v>2590</v>
      </c>
      <c r="B591" s="4">
        <v>45568</v>
      </c>
      <c r="C591">
        <v>2024</v>
      </c>
      <c r="D591" t="s">
        <v>17</v>
      </c>
      <c r="E591" t="s">
        <v>27</v>
      </c>
      <c r="F591" t="s">
        <v>66</v>
      </c>
      <c r="G591" t="s">
        <v>72</v>
      </c>
      <c r="H591">
        <v>19</v>
      </c>
      <c r="I591">
        <v>66.319999999999993</v>
      </c>
      <c r="J591">
        <v>1260.08</v>
      </c>
      <c r="K591">
        <v>57.47</v>
      </c>
      <c r="L591">
        <v>168.15</v>
      </c>
      <c r="M591" t="s">
        <v>76</v>
      </c>
      <c r="N591" t="s">
        <v>77</v>
      </c>
    </row>
    <row r="592" spans="1:14" x14ac:dyDescent="0.3">
      <c r="A592">
        <v>2591</v>
      </c>
      <c r="B592" s="4">
        <v>45108</v>
      </c>
      <c r="C592">
        <v>2023</v>
      </c>
      <c r="D592" t="s">
        <v>14</v>
      </c>
      <c r="E592" t="s">
        <v>30</v>
      </c>
      <c r="F592" t="s">
        <v>52</v>
      </c>
      <c r="G592" t="s">
        <v>71</v>
      </c>
      <c r="H592">
        <v>13</v>
      </c>
      <c r="I592">
        <v>41.74</v>
      </c>
      <c r="J592">
        <v>542.62</v>
      </c>
      <c r="K592">
        <v>32.24</v>
      </c>
      <c r="L592">
        <v>123.5</v>
      </c>
      <c r="M592" t="s">
        <v>75</v>
      </c>
      <c r="N592" t="s">
        <v>78</v>
      </c>
    </row>
    <row r="593" spans="1:14" x14ac:dyDescent="0.3">
      <c r="A593">
        <v>2592</v>
      </c>
      <c r="B593" s="4">
        <v>45647</v>
      </c>
      <c r="C593">
        <v>2024</v>
      </c>
      <c r="D593" t="s">
        <v>14</v>
      </c>
      <c r="E593" t="s">
        <v>24</v>
      </c>
      <c r="F593" t="s">
        <v>44</v>
      </c>
      <c r="G593" t="s">
        <v>68</v>
      </c>
      <c r="H593">
        <v>14</v>
      </c>
      <c r="I593">
        <v>62.75</v>
      </c>
      <c r="J593">
        <v>878.5</v>
      </c>
      <c r="K593">
        <v>48.23</v>
      </c>
      <c r="L593">
        <v>203.28</v>
      </c>
      <c r="M593" t="s">
        <v>75</v>
      </c>
      <c r="N593" t="s">
        <v>79</v>
      </c>
    </row>
    <row r="594" spans="1:14" x14ac:dyDescent="0.3">
      <c r="A594">
        <v>2593</v>
      </c>
      <c r="B594" s="4">
        <v>45614</v>
      </c>
      <c r="C594">
        <v>2024</v>
      </c>
      <c r="D594" t="s">
        <v>16</v>
      </c>
      <c r="E594" t="s">
        <v>26</v>
      </c>
      <c r="F594" t="s">
        <v>54</v>
      </c>
      <c r="G594" t="s">
        <v>72</v>
      </c>
      <c r="H594">
        <v>7</v>
      </c>
      <c r="I594">
        <v>118.11</v>
      </c>
      <c r="J594">
        <v>826.77</v>
      </c>
      <c r="K594">
        <v>81.489999999999995</v>
      </c>
      <c r="L594">
        <v>256.33999999999997</v>
      </c>
      <c r="M594" t="s">
        <v>75</v>
      </c>
      <c r="N594" t="s">
        <v>80</v>
      </c>
    </row>
    <row r="595" spans="1:14" x14ac:dyDescent="0.3">
      <c r="A595">
        <v>2594</v>
      </c>
      <c r="B595" s="4">
        <v>44655</v>
      </c>
      <c r="C595">
        <v>2022</v>
      </c>
      <c r="D595" t="s">
        <v>20</v>
      </c>
      <c r="E595" t="s">
        <v>32</v>
      </c>
      <c r="F595" t="s">
        <v>63</v>
      </c>
      <c r="G595" t="s">
        <v>70</v>
      </c>
      <c r="H595">
        <v>16</v>
      </c>
      <c r="I595">
        <v>27.8</v>
      </c>
      <c r="J595">
        <v>444.8</v>
      </c>
      <c r="K595">
        <v>17.84</v>
      </c>
      <c r="L595">
        <v>159.36000000000001</v>
      </c>
      <c r="M595" t="s">
        <v>74</v>
      </c>
      <c r="N595" t="s">
        <v>78</v>
      </c>
    </row>
    <row r="596" spans="1:14" x14ac:dyDescent="0.3">
      <c r="A596">
        <v>2595</v>
      </c>
      <c r="B596" s="4">
        <v>45579</v>
      </c>
      <c r="C596">
        <v>2024</v>
      </c>
      <c r="D596" t="s">
        <v>15</v>
      </c>
      <c r="E596" t="s">
        <v>28</v>
      </c>
      <c r="F596" t="s">
        <v>63</v>
      </c>
      <c r="G596" t="s">
        <v>70</v>
      </c>
      <c r="H596">
        <v>7</v>
      </c>
      <c r="I596">
        <v>188.25</v>
      </c>
      <c r="J596">
        <v>1317.75</v>
      </c>
      <c r="K596">
        <v>138.71</v>
      </c>
      <c r="L596">
        <v>346.78</v>
      </c>
      <c r="M596" t="s">
        <v>74</v>
      </c>
      <c r="N596" t="s">
        <v>77</v>
      </c>
    </row>
    <row r="597" spans="1:14" x14ac:dyDescent="0.3">
      <c r="A597">
        <v>2596</v>
      </c>
      <c r="B597" s="4">
        <v>45062</v>
      </c>
      <c r="C597">
        <v>2023</v>
      </c>
      <c r="D597" t="s">
        <v>20</v>
      </c>
      <c r="E597" t="s">
        <v>40</v>
      </c>
      <c r="F597" t="s">
        <v>61</v>
      </c>
      <c r="G597" t="s">
        <v>68</v>
      </c>
      <c r="H597">
        <v>17</v>
      </c>
      <c r="I597">
        <v>43.81</v>
      </c>
      <c r="J597">
        <v>744.77</v>
      </c>
      <c r="K597">
        <v>30.09</v>
      </c>
      <c r="L597">
        <v>233.24</v>
      </c>
      <c r="M597" t="s">
        <v>75</v>
      </c>
      <c r="N597" t="s">
        <v>80</v>
      </c>
    </row>
    <row r="598" spans="1:14" x14ac:dyDescent="0.3">
      <c r="A598">
        <v>2597</v>
      </c>
      <c r="B598" s="4">
        <v>45618</v>
      </c>
      <c r="C598">
        <v>2024</v>
      </c>
      <c r="D598" t="s">
        <v>21</v>
      </c>
      <c r="E598" t="s">
        <v>33</v>
      </c>
      <c r="F598" t="s">
        <v>62</v>
      </c>
      <c r="G598" t="s">
        <v>72</v>
      </c>
      <c r="H598">
        <v>8</v>
      </c>
      <c r="I598">
        <v>199.2</v>
      </c>
      <c r="J598">
        <v>1593.6</v>
      </c>
      <c r="K598">
        <v>153.88</v>
      </c>
      <c r="L598">
        <v>362.56</v>
      </c>
      <c r="M598" t="s">
        <v>74</v>
      </c>
      <c r="N598" t="s">
        <v>78</v>
      </c>
    </row>
    <row r="599" spans="1:14" x14ac:dyDescent="0.3">
      <c r="A599">
        <v>2598</v>
      </c>
      <c r="B599" s="4">
        <v>44648</v>
      </c>
      <c r="C599">
        <v>2022</v>
      </c>
      <c r="D599" t="s">
        <v>18</v>
      </c>
      <c r="E599" t="s">
        <v>29</v>
      </c>
      <c r="F599" t="s">
        <v>51</v>
      </c>
      <c r="G599" t="s">
        <v>69</v>
      </c>
      <c r="H599">
        <v>11</v>
      </c>
      <c r="I599">
        <v>171.82</v>
      </c>
      <c r="J599">
        <v>1890.02</v>
      </c>
      <c r="K599">
        <v>109.76</v>
      </c>
      <c r="L599">
        <v>682.66</v>
      </c>
      <c r="M599" t="s">
        <v>74</v>
      </c>
      <c r="N599" t="s">
        <v>80</v>
      </c>
    </row>
    <row r="600" spans="1:14" x14ac:dyDescent="0.3">
      <c r="A600">
        <v>2599</v>
      </c>
      <c r="B600" s="4">
        <v>45344</v>
      </c>
      <c r="C600">
        <v>2024</v>
      </c>
      <c r="D600" t="s">
        <v>21</v>
      </c>
      <c r="E600" t="s">
        <v>41</v>
      </c>
      <c r="F600" t="s">
        <v>47</v>
      </c>
      <c r="G600" t="s">
        <v>71</v>
      </c>
      <c r="H600">
        <v>17</v>
      </c>
      <c r="I600">
        <v>170.17</v>
      </c>
      <c r="J600">
        <v>2892.89</v>
      </c>
      <c r="K600">
        <v>107.2</v>
      </c>
      <c r="L600">
        <v>1070.49</v>
      </c>
      <c r="M600" t="s">
        <v>75</v>
      </c>
      <c r="N600" t="s">
        <v>80</v>
      </c>
    </row>
    <row r="601" spans="1:14" x14ac:dyDescent="0.3">
      <c r="A601">
        <v>2600</v>
      </c>
      <c r="B601" s="4">
        <v>45530</v>
      </c>
      <c r="C601">
        <v>2024</v>
      </c>
      <c r="D601" t="s">
        <v>19</v>
      </c>
      <c r="E601" t="s">
        <v>42</v>
      </c>
      <c r="F601" t="s">
        <v>46</v>
      </c>
      <c r="G601" t="s">
        <v>70</v>
      </c>
      <c r="H601">
        <v>20</v>
      </c>
      <c r="I601">
        <v>169.95</v>
      </c>
      <c r="J601">
        <v>3399</v>
      </c>
      <c r="K601">
        <v>147.36000000000001</v>
      </c>
      <c r="L601">
        <v>451.8</v>
      </c>
      <c r="M601" t="s">
        <v>76</v>
      </c>
      <c r="N601" t="s">
        <v>80</v>
      </c>
    </row>
    <row r="602" spans="1:14" x14ac:dyDescent="0.3">
      <c r="A602">
        <v>2601</v>
      </c>
      <c r="B602" s="4">
        <v>45405</v>
      </c>
      <c r="C602">
        <v>2024</v>
      </c>
      <c r="D602" t="s">
        <v>19</v>
      </c>
      <c r="E602" t="s">
        <v>31</v>
      </c>
      <c r="F602" t="s">
        <v>61</v>
      </c>
      <c r="G602" t="s">
        <v>68</v>
      </c>
      <c r="H602">
        <v>5</v>
      </c>
      <c r="I602">
        <v>91.67</v>
      </c>
      <c r="J602">
        <v>458.35</v>
      </c>
      <c r="K602">
        <v>69.430000000000007</v>
      </c>
      <c r="L602">
        <v>111.2</v>
      </c>
      <c r="M602" t="s">
        <v>76</v>
      </c>
      <c r="N602" t="s">
        <v>77</v>
      </c>
    </row>
    <row r="603" spans="1:14" x14ac:dyDescent="0.3">
      <c r="A603">
        <v>2602</v>
      </c>
      <c r="B603" s="4">
        <v>44879</v>
      </c>
      <c r="C603">
        <v>2022</v>
      </c>
      <c r="D603" t="s">
        <v>18</v>
      </c>
      <c r="E603" t="s">
        <v>29</v>
      </c>
      <c r="F603" t="s">
        <v>56</v>
      </c>
      <c r="G603" t="s">
        <v>70</v>
      </c>
      <c r="H603">
        <v>2</v>
      </c>
      <c r="I603">
        <v>41.5</v>
      </c>
      <c r="J603">
        <v>83</v>
      </c>
      <c r="K603">
        <v>27.13</v>
      </c>
      <c r="L603">
        <v>28.74</v>
      </c>
      <c r="M603" t="s">
        <v>74</v>
      </c>
      <c r="N603" t="s">
        <v>79</v>
      </c>
    </row>
    <row r="604" spans="1:14" x14ac:dyDescent="0.3">
      <c r="A604">
        <v>2603</v>
      </c>
      <c r="B604" s="4">
        <v>44842</v>
      </c>
      <c r="C604">
        <v>2022</v>
      </c>
      <c r="D604" t="s">
        <v>15</v>
      </c>
      <c r="E604" t="s">
        <v>25</v>
      </c>
      <c r="F604" t="s">
        <v>55</v>
      </c>
      <c r="G604" t="s">
        <v>71</v>
      </c>
      <c r="H604">
        <v>20</v>
      </c>
      <c r="I604">
        <v>106.42</v>
      </c>
      <c r="J604">
        <v>2128.4</v>
      </c>
      <c r="K604">
        <v>67.239999999999995</v>
      </c>
      <c r="L604">
        <v>783.6</v>
      </c>
      <c r="M604" t="s">
        <v>76</v>
      </c>
      <c r="N604" t="s">
        <v>80</v>
      </c>
    </row>
    <row r="605" spans="1:14" x14ac:dyDescent="0.3">
      <c r="A605">
        <v>2604</v>
      </c>
      <c r="B605" s="4">
        <v>44755</v>
      </c>
      <c r="C605">
        <v>2022</v>
      </c>
      <c r="D605" t="s">
        <v>16</v>
      </c>
      <c r="E605" t="s">
        <v>35</v>
      </c>
      <c r="F605" t="s">
        <v>44</v>
      </c>
      <c r="G605" t="s">
        <v>68</v>
      </c>
      <c r="H605">
        <v>18</v>
      </c>
      <c r="I605">
        <v>84.17</v>
      </c>
      <c r="J605">
        <v>1515.06</v>
      </c>
      <c r="K605">
        <v>64.75</v>
      </c>
      <c r="L605">
        <v>349.56</v>
      </c>
      <c r="M605" t="s">
        <v>76</v>
      </c>
      <c r="N605" t="s">
        <v>77</v>
      </c>
    </row>
    <row r="606" spans="1:14" x14ac:dyDescent="0.3">
      <c r="A606">
        <v>2605</v>
      </c>
      <c r="B606" s="4">
        <v>44900</v>
      </c>
      <c r="C606">
        <v>2022</v>
      </c>
      <c r="D606" t="s">
        <v>20</v>
      </c>
      <c r="E606" t="s">
        <v>40</v>
      </c>
      <c r="F606" t="s">
        <v>51</v>
      </c>
      <c r="G606" t="s">
        <v>69</v>
      </c>
      <c r="H606">
        <v>19</v>
      </c>
      <c r="I606">
        <v>111.4</v>
      </c>
      <c r="J606">
        <v>2116.6</v>
      </c>
      <c r="K606">
        <v>90.34</v>
      </c>
      <c r="L606">
        <v>400.14</v>
      </c>
      <c r="M606" t="s">
        <v>75</v>
      </c>
      <c r="N606" t="s">
        <v>80</v>
      </c>
    </row>
    <row r="607" spans="1:14" x14ac:dyDescent="0.3">
      <c r="A607">
        <v>2606</v>
      </c>
      <c r="B607" s="4">
        <v>44767</v>
      </c>
      <c r="C607">
        <v>2022</v>
      </c>
      <c r="D607" t="s">
        <v>18</v>
      </c>
      <c r="E607" t="s">
        <v>29</v>
      </c>
      <c r="F607" t="s">
        <v>52</v>
      </c>
      <c r="G607" t="s">
        <v>71</v>
      </c>
      <c r="H607">
        <v>12</v>
      </c>
      <c r="I607">
        <v>157.13999999999999</v>
      </c>
      <c r="J607">
        <v>1885.68</v>
      </c>
      <c r="K607">
        <v>100.82</v>
      </c>
      <c r="L607">
        <v>675.84</v>
      </c>
      <c r="M607" t="s">
        <v>75</v>
      </c>
      <c r="N607" t="s">
        <v>80</v>
      </c>
    </row>
    <row r="608" spans="1:14" x14ac:dyDescent="0.3">
      <c r="A608">
        <v>2607</v>
      </c>
      <c r="B608" s="4">
        <v>45190</v>
      </c>
      <c r="C608">
        <v>2023</v>
      </c>
      <c r="D608" t="s">
        <v>23</v>
      </c>
      <c r="E608" t="s">
        <v>43</v>
      </c>
      <c r="F608" t="s">
        <v>62</v>
      </c>
      <c r="G608" t="s">
        <v>72</v>
      </c>
      <c r="H608">
        <v>9</v>
      </c>
      <c r="I608">
        <v>167.84</v>
      </c>
      <c r="J608">
        <v>1510.56</v>
      </c>
      <c r="K608">
        <v>126.2</v>
      </c>
      <c r="L608">
        <v>374.76</v>
      </c>
      <c r="M608" t="s">
        <v>76</v>
      </c>
      <c r="N608" t="s">
        <v>80</v>
      </c>
    </row>
    <row r="609" spans="1:14" x14ac:dyDescent="0.3">
      <c r="A609">
        <v>2608</v>
      </c>
      <c r="B609" s="4">
        <v>45644</v>
      </c>
      <c r="C609">
        <v>2024</v>
      </c>
      <c r="D609" t="s">
        <v>15</v>
      </c>
      <c r="E609" t="s">
        <v>25</v>
      </c>
      <c r="F609" t="s">
        <v>61</v>
      </c>
      <c r="G609" t="s">
        <v>68</v>
      </c>
      <c r="H609">
        <v>1</v>
      </c>
      <c r="I609">
        <v>43.67</v>
      </c>
      <c r="J609">
        <v>43.67</v>
      </c>
      <c r="K609">
        <v>33.22</v>
      </c>
      <c r="L609">
        <v>10.45</v>
      </c>
      <c r="M609" t="s">
        <v>74</v>
      </c>
      <c r="N609" t="s">
        <v>77</v>
      </c>
    </row>
    <row r="610" spans="1:14" x14ac:dyDescent="0.3">
      <c r="A610">
        <v>2609</v>
      </c>
      <c r="B610" s="4">
        <v>44969</v>
      </c>
      <c r="C610">
        <v>2023</v>
      </c>
      <c r="D610" t="s">
        <v>17</v>
      </c>
      <c r="E610" t="s">
        <v>27</v>
      </c>
      <c r="F610" t="s">
        <v>50</v>
      </c>
      <c r="G610" t="s">
        <v>73</v>
      </c>
      <c r="H610">
        <v>2</v>
      </c>
      <c r="I610">
        <v>128.11000000000001</v>
      </c>
      <c r="J610">
        <v>256.22000000000003</v>
      </c>
      <c r="K610">
        <v>111.9</v>
      </c>
      <c r="L610">
        <v>32.42</v>
      </c>
      <c r="M610" t="s">
        <v>75</v>
      </c>
      <c r="N610" t="s">
        <v>78</v>
      </c>
    </row>
    <row r="611" spans="1:14" x14ac:dyDescent="0.3">
      <c r="A611">
        <v>2610</v>
      </c>
      <c r="B611" s="4">
        <v>45315</v>
      </c>
      <c r="C611">
        <v>2024</v>
      </c>
      <c r="D611" t="s">
        <v>21</v>
      </c>
      <c r="E611" t="s">
        <v>41</v>
      </c>
      <c r="F611" t="s">
        <v>64</v>
      </c>
      <c r="G611" t="s">
        <v>70</v>
      </c>
      <c r="H611">
        <v>19</v>
      </c>
      <c r="I611">
        <v>143.94</v>
      </c>
      <c r="J611">
        <v>2734.86</v>
      </c>
      <c r="K611">
        <v>115.28</v>
      </c>
      <c r="L611">
        <v>544.54</v>
      </c>
      <c r="M611" t="s">
        <v>74</v>
      </c>
      <c r="N611" t="s">
        <v>77</v>
      </c>
    </row>
    <row r="612" spans="1:14" x14ac:dyDescent="0.3">
      <c r="A612">
        <v>2611</v>
      </c>
      <c r="B612" s="4">
        <v>45206</v>
      </c>
      <c r="C612">
        <v>2023</v>
      </c>
      <c r="D612" t="s">
        <v>23</v>
      </c>
      <c r="E612" t="s">
        <v>37</v>
      </c>
      <c r="F612" t="s">
        <v>50</v>
      </c>
      <c r="G612" t="s">
        <v>73</v>
      </c>
      <c r="H612">
        <v>9</v>
      </c>
      <c r="I612">
        <v>21.87</v>
      </c>
      <c r="J612">
        <v>196.83</v>
      </c>
      <c r="K612">
        <v>18.55</v>
      </c>
      <c r="L612">
        <v>29.88</v>
      </c>
      <c r="M612" t="s">
        <v>74</v>
      </c>
      <c r="N612" t="s">
        <v>78</v>
      </c>
    </row>
    <row r="613" spans="1:14" x14ac:dyDescent="0.3">
      <c r="A613">
        <v>2612</v>
      </c>
      <c r="B613" s="4">
        <v>44792</v>
      </c>
      <c r="C613">
        <v>2022</v>
      </c>
      <c r="D613" t="s">
        <v>15</v>
      </c>
      <c r="E613" t="s">
        <v>25</v>
      </c>
      <c r="F613" t="s">
        <v>64</v>
      </c>
      <c r="G613" t="s">
        <v>70</v>
      </c>
      <c r="H613">
        <v>12</v>
      </c>
      <c r="I613">
        <v>165.08</v>
      </c>
      <c r="J613">
        <v>1980.96</v>
      </c>
      <c r="K613">
        <v>126.46</v>
      </c>
      <c r="L613">
        <v>463.44</v>
      </c>
      <c r="M613" t="s">
        <v>75</v>
      </c>
      <c r="N613" t="s">
        <v>80</v>
      </c>
    </row>
    <row r="614" spans="1:14" x14ac:dyDescent="0.3">
      <c r="A614">
        <v>2613</v>
      </c>
      <c r="B614" s="4">
        <v>45147</v>
      </c>
      <c r="C614">
        <v>2023</v>
      </c>
      <c r="D614" t="s">
        <v>17</v>
      </c>
      <c r="E614" t="s">
        <v>27</v>
      </c>
      <c r="F614" t="s">
        <v>66</v>
      </c>
      <c r="G614" t="s">
        <v>72</v>
      </c>
      <c r="H614">
        <v>19</v>
      </c>
      <c r="I614">
        <v>30.75</v>
      </c>
      <c r="J614">
        <v>584.25</v>
      </c>
      <c r="K614">
        <v>20.399999999999999</v>
      </c>
      <c r="L614">
        <v>196.65</v>
      </c>
      <c r="M614" t="s">
        <v>75</v>
      </c>
      <c r="N614" t="s">
        <v>80</v>
      </c>
    </row>
    <row r="615" spans="1:14" x14ac:dyDescent="0.3">
      <c r="A615">
        <v>2614</v>
      </c>
      <c r="B615" s="4">
        <v>44665</v>
      </c>
      <c r="C615">
        <v>2022</v>
      </c>
      <c r="D615" t="s">
        <v>15</v>
      </c>
      <c r="E615" t="s">
        <v>25</v>
      </c>
      <c r="F615" t="s">
        <v>49</v>
      </c>
      <c r="G615" t="s">
        <v>72</v>
      </c>
      <c r="H615">
        <v>17</v>
      </c>
      <c r="I615">
        <v>85.59</v>
      </c>
      <c r="J615">
        <v>1455.03</v>
      </c>
      <c r="K615">
        <v>51.83</v>
      </c>
      <c r="L615">
        <v>573.91999999999996</v>
      </c>
      <c r="M615" t="s">
        <v>76</v>
      </c>
      <c r="N615" t="s">
        <v>77</v>
      </c>
    </row>
    <row r="616" spans="1:14" x14ac:dyDescent="0.3">
      <c r="A616">
        <v>2615</v>
      </c>
      <c r="B616" s="4">
        <v>44571</v>
      </c>
      <c r="C616">
        <v>2022</v>
      </c>
      <c r="D616" t="s">
        <v>18</v>
      </c>
      <c r="E616" t="s">
        <v>29</v>
      </c>
      <c r="F616" t="s">
        <v>66</v>
      </c>
      <c r="G616" t="s">
        <v>72</v>
      </c>
      <c r="H616">
        <v>15</v>
      </c>
      <c r="I616">
        <v>176.9</v>
      </c>
      <c r="J616">
        <v>2653.5</v>
      </c>
      <c r="K616">
        <v>153.58000000000001</v>
      </c>
      <c r="L616">
        <v>349.8</v>
      </c>
      <c r="M616" t="s">
        <v>76</v>
      </c>
      <c r="N616" t="s">
        <v>79</v>
      </c>
    </row>
    <row r="617" spans="1:14" x14ac:dyDescent="0.3">
      <c r="A617">
        <v>2616</v>
      </c>
      <c r="B617" s="4">
        <v>44828</v>
      </c>
      <c r="C617">
        <v>2022</v>
      </c>
      <c r="D617" t="s">
        <v>19</v>
      </c>
      <c r="E617" t="s">
        <v>39</v>
      </c>
      <c r="F617" t="s">
        <v>58</v>
      </c>
      <c r="G617" t="s">
        <v>68</v>
      </c>
      <c r="H617">
        <v>16</v>
      </c>
      <c r="I617">
        <v>122.9</v>
      </c>
      <c r="J617">
        <v>1966.4</v>
      </c>
      <c r="K617">
        <v>83.11</v>
      </c>
      <c r="L617">
        <v>636.64</v>
      </c>
      <c r="M617" t="s">
        <v>76</v>
      </c>
      <c r="N617" t="s">
        <v>78</v>
      </c>
    </row>
    <row r="618" spans="1:14" x14ac:dyDescent="0.3">
      <c r="A618">
        <v>2617</v>
      </c>
      <c r="B618" s="4">
        <v>45139</v>
      </c>
      <c r="C618">
        <v>2023</v>
      </c>
      <c r="D618" t="s">
        <v>14</v>
      </c>
      <c r="E618" t="s">
        <v>30</v>
      </c>
      <c r="F618" t="s">
        <v>58</v>
      </c>
      <c r="G618" t="s">
        <v>68</v>
      </c>
      <c r="H618">
        <v>11</v>
      </c>
      <c r="I618">
        <v>44.49</v>
      </c>
      <c r="J618">
        <v>489.39</v>
      </c>
      <c r="K618">
        <v>27.03</v>
      </c>
      <c r="L618">
        <v>192.06</v>
      </c>
      <c r="M618" t="s">
        <v>75</v>
      </c>
      <c r="N618" t="s">
        <v>78</v>
      </c>
    </row>
    <row r="619" spans="1:14" x14ac:dyDescent="0.3">
      <c r="A619">
        <v>2618</v>
      </c>
      <c r="B619" s="4">
        <v>45524</v>
      </c>
      <c r="C619">
        <v>2024</v>
      </c>
      <c r="D619" t="s">
        <v>17</v>
      </c>
      <c r="E619" t="s">
        <v>27</v>
      </c>
      <c r="F619" t="s">
        <v>53</v>
      </c>
      <c r="G619" t="s">
        <v>69</v>
      </c>
      <c r="H619">
        <v>1</v>
      </c>
      <c r="I619">
        <v>70.36</v>
      </c>
      <c r="J619">
        <v>70.36</v>
      </c>
      <c r="K619">
        <v>56.05</v>
      </c>
      <c r="L619">
        <v>14.31</v>
      </c>
      <c r="M619" t="s">
        <v>76</v>
      </c>
      <c r="N619" t="s">
        <v>77</v>
      </c>
    </row>
    <row r="620" spans="1:14" x14ac:dyDescent="0.3">
      <c r="A620">
        <v>2619</v>
      </c>
      <c r="B620" s="4">
        <v>45576</v>
      </c>
      <c r="C620">
        <v>2024</v>
      </c>
      <c r="D620" t="s">
        <v>17</v>
      </c>
      <c r="E620" t="s">
        <v>27</v>
      </c>
      <c r="F620" t="s">
        <v>47</v>
      </c>
      <c r="G620" t="s">
        <v>71</v>
      </c>
      <c r="H620">
        <v>1</v>
      </c>
      <c r="I620">
        <v>143.81</v>
      </c>
      <c r="J620">
        <v>143.81</v>
      </c>
      <c r="K620">
        <v>100.21</v>
      </c>
      <c r="L620">
        <v>43.6</v>
      </c>
      <c r="M620" t="s">
        <v>75</v>
      </c>
      <c r="N620" t="s">
        <v>80</v>
      </c>
    </row>
    <row r="621" spans="1:14" x14ac:dyDescent="0.3">
      <c r="A621">
        <v>2620</v>
      </c>
      <c r="B621" s="4">
        <v>45505</v>
      </c>
      <c r="C621">
        <v>2024</v>
      </c>
      <c r="D621" t="s">
        <v>16</v>
      </c>
      <c r="E621" t="s">
        <v>26</v>
      </c>
      <c r="F621" t="s">
        <v>65</v>
      </c>
      <c r="G621" t="s">
        <v>73</v>
      </c>
      <c r="H621">
        <v>8</v>
      </c>
      <c r="I621">
        <v>146.49</v>
      </c>
      <c r="J621">
        <v>1171.92</v>
      </c>
      <c r="K621">
        <v>92.54</v>
      </c>
      <c r="L621">
        <v>431.6</v>
      </c>
      <c r="M621" t="s">
        <v>76</v>
      </c>
      <c r="N621" t="s">
        <v>77</v>
      </c>
    </row>
    <row r="622" spans="1:14" x14ac:dyDescent="0.3">
      <c r="A622">
        <v>2621</v>
      </c>
      <c r="B622" s="4">
        <v>45501</v>
      </c>
      <c r="C622">
        <v>2024</v>
      </c>
      <c r="D622" t="s">
        <v>16</v>
      </c>
      <c r="E622" t="s">
        <v>35</v>
      </c>
      <c r="F622" t="s">
        <v>57</v>
      </c>
      <c r="G622" t="s">
        <v>73</v>
      </c>
      <c r="H622">
        <v>17</v>
      </c>
      <c r="I622">
        <v>30.28</v>
      </c>
      <c r="J622">
        <v>514.76</v>
      </c>
      <c r="K622">
        <v>23.63</v>
      </c>
      <c r="L622">
        <v>113.05</v>
      </c>
      <c r="M622" t="s">
        <v>75</v>
      </c>
      <c r="N622" t="s">
        <v>77</v>
      </c>
    </row>
    <row r="623" spans="1:14" x14ac:dyDescent="0.3">
      <c r="A623">
        <v>2622</v>
      </c>
      <c r="B623" s="4">
        <v>44655</v>
      </c>
      <c r="C623">
        <v>2022</v>
      </c>
      <c r="D623" t="s">
        <v>21</v>
      </c>
      <c r="E623" t="s">
        <v>33</v>
      </c>
      <c r="F623" t="s">
        <v>44</v>
      </c>
      <c r="G623" t="s">
        <v>68</v>
      </c>
      <c r="H623">
        <v>16</v>
      </c>
      <c r="I623">
        <v>85.26</v>
      </c>
      <c r="J623">
        <v>1364.16</v>
      </c>
      <c r="K623">
        <v>73.38</v>
      </c>
      <c r="L623">
        <v>190.08</v>
      </c>
      <c r="M623" t="s">
        <v>76</v>
      </c>
      <c r="N623" t="s">
        <v>78</v>
      </c>
    </row>
    <row r="624" spans="1:14" x14ac:dyDescent="0.3">
      <c r="A624">
        <v>2623</v>
      </c>
      <c r="B624" s="4">
        <v>45170</v>
      </c>
      <c r="C624">
        <v>2023</v>
      </c>
      <c r="D624" t="s">
        <v>19</v>
      </c>
      <c r="E624" t="s">
        <v>31</v>
      </c>
      <c r="F624" t="s">
        <v>49</v>
      </c>
      <c r="G624" t="s">
        <v>72</v>
      </c>
      <c r="H624">
        <v>10</v>
      </c>
      <c r="I624">
        <v>170.58</v>
      </c>
      <c r="J624">
        <v>1705.8</v>
      </c>
      <c r="K624">
        <v>141.61000000000001</v>
      </c>
      <c r="L624">
        <v>289.7</v>
      </c>
      <c r="M624" t="s">
        <v>76</v>
      </c>
      <c r="N624" t="s">
        <v>79</v>
      </c>
    </row>
    <row r="625" spans="1:14" x14ac:dyDescent="0.3">
      <c r="A625">
        <v>2624</v>
      </c>
      <c r="B625" s="4">
        <v>44992</v>
      </c>
      <c r="C625">
        <v>2023</v>
      </c>
      <c r="D625" t="s">
        <v>17</v>
      </c>
      <c r="E625" t="s">
        <v>27</v>
      </c>
      <c r="F625" t="s">
        <v>44</v>
      </c>
      <c r="G625" t="s">
        <v>68</v>
      </c>
      <c r="H625">
        <v>15</v>
      </c>
      <c r="I625">
        <v>77.38</v>
      </c>
      <c r="J625">
        <v>1160.7</v>
      </c>
      <c r="K625">
        <v>62.58</v>
      </c>
      <c r="L625">
        <v>222</v>
      </c>
      <c r="M625" t="s">
        <v>75</v>
      </c>
      <c r="N625" t="s">
        <v>78</v>
      </c>
    </row>
    <row r="626" spans="1:14" x14ac:dyDescent="0.3">
      <c r="A626">
        <v>2625</v>
      </c>
      <c r="B626" s="4">
        <v>45583</v>
      </c>
      <c r="C626">
        <v>2024</v>
      </c>
      <c r="D626" t="s">
        <v>21</v>
      </c>
      <c r="E626" t="s">
        <v>41</v>
      </c>
      <c r="F626" t="s">
        <v>62</v>
      </c>
      <c r="G626" t="s">
        <v>72</v>
      </c>
      <c r="H626">
        <v>7</v>
      </c>
      <c r="I626">
        <v>36.47</v>
      </c>
      <c r="J626">
        <v>255.29</v>
      </c>
      <c r="K626">
        <v>24.73</v>
      </c>
      <c r="L626">
        <v>82.18</v>
      </c>
      <c r="M626" t="s">
        <v>74</v>
      </c>
      <c r="N626" t="s">
        <v>78</v>
      </c>
    </row>
    <row r="627" spans="1:14" x14ac:dyDescent="0.3">
      <c r="A627">
        <v>2626</v>
      </c>
      <c r="B627" s="4">
        <v>45632</v>
      </c>
      <c r="C627">
        <v>2024</v>
      </c>
      <c r="D627" t="s">
        <v>19</v>
      </c>
      <c r="E627" t="s">
        <v>39</v>
      </c>
      <c r="F627" t="s">
        <v>60</v>
      </c>
      <c r="G627" t="s">
        <v>73</v>
      </c>
      <c r="H627">
        <v>20</v>
      </c>
      <c r="I627">
        <v>42.27</v>
      </c>
      <c r="J627">
        <v>845.4</v>
      </c>
      <c r="K627">
        <v>36.78</v>
      </c>
      <c r="L627">
        <v>109.8</v>
      </c>
      <c r="M627" t="s">
        <v>76</v>
      </c>
      <c r="N627" t="s">
        <v>77</v>
      </c>
    </row>
    <row r="628" spans="1:14" x14ac:dyDescent="0.3">
      <c r="A628">
        <v>2627</v>
      </c>
      <c r="B628" s="4">
        <v>44578</v>
      </c>
      <c r="C628">
        <v>2022</v>
      </c>
      <c r="D628" t="s">
        <v>20</v>
      </c>
      <c r="E628" t="s">
        <v>32</v>
      </c>
      <c r="F628" t="s">
        <v>63</v>
      </c>
      <c r="G628" t="s">
        <v>70</v>
      </c>
      <c r="H628">
        <v>6</v>
      </c>
      <c r="I628">
        <v>80.45</v>
      </c>
      <c r="J628">
        <v>482.7</v>
      </c>
      <c r="K628">
        <v>54.05</v>
      </c>
      <c r="L628">
        <v>158.4</v>
      </c>
      <c r="M628" t="s">
        <v>75</v>
      </c>
      <c r="N628" t="s">
        <v>79</v>
      </c>
    </row>
    <row r="629" spans="1:14" x14ac:dyDescent="0.3">
      <c r="A629">
        <v>2628</v>
      </c>
      <c r="B629" s="4">
        <v>45648</v>
      </c>
      <c r="C629">
        <v>2024</v>
      </c>
      <c r="D629" t="s">
        <v>17</v>
      </c>
      <c r="E629" t="s">
        <v>34</v>
      </c>
      <c r="F629" t="s">
        <v>65</v>
      </c>
      <c r="G629" t="s">
        <v>73</v>
      </c>
      <c r="H629">
        <v>13</v>
      </c>
      <c r="I629">
        <v>79.39</v>
      </c>
      <c r="J629">
        <v>1032.07</v>
      </c>
      <c r="K629">
        <v>59.19</v>
      </c>
      <c r="L629">
        <v>262.60000000000002</v>
      </c>
      <c r="M629" t="s">
        <v>76</v>
      </c>
      <c r="N629" t="s">
        <v>77</v>
      </c>
    </row>
    <row r="630" spans="1:14" x14ac:dyDescent="0.3">
      <c r="A630">
        <v>2629</v>
      </c>
      <c r="B630" s="4">
        <v>45547</v>
      </c>
      <c r="C630">
        <v>2024</v>
      </c>
      <c r="D630" t="s">
        <v>16</v>
      </c>
      <c r="E630" t="s">
        <v>35</v>
      </c>
      <c r="F630" t="s">
        <v>56</v>
      </c>
      <c r="G630" t="s">
        <v>70</v>
      </c>
      <c r="H630">
        <v>1</v>
      </c>
      <c r="I630">
        <v>139.06</v>
      </c>
      <c r="J630">
        <v>139.06</v>
      </c>
      <c r="K630">
        <v>123.66</v>
      </c>
      <c r="L630">
        <v>15.4</v>
      </c>
      <c r="M630" t="s">
        <v>75</v>
      </c>
      <c r="N630" t="s">
        <v>80</v>
      </c>
    </row>
    <row r="631" spans="1:14" x14ac:dyDescent="0.3">
      <c r="A631">
        <v>2630</v>
      </c>
      <c r="B631" s="4">
        <v>45093</v>
      </c>
      <c r="C631">
        <v>2023</v>
      </c>
      <c r="D631" t="s">
        <v>22</v>
      </c>
      <c r="E631" t="s">
        <v>36</v>
      </c>
      <c r="F631" t="s">
        <v>59</v>
      </c>
      <c r="G631" t="s">
        <v>69</v>
      </c>
      <c r="H631">
        <v>12</v>
      </c>
      <c r="I631">
        <v>130.91999999999999</v>
      </c>
      <c r="J631">
        <v>1571.04</v>
      </c>
      <c r="K631">
        <v>81.209999999999994</v>
      </c>
      <c r="L631">
        <v>596.52</v>
      </c>
      <c r="M631" t="s">
        <v>75</v>
      </c>
      <c r="N631" t="s">
        <v>80</v>
      </c>
    </row>
    <row r="632" spans="1:14" x14ac:dyDescent="0.3">
      <c r="A632">
        <v>2631</v>
      </c>
      <c r="B632" s="4">
        <v>44584</v>
      </c>
      <c r="C632">
        <v>2022</v>
      </c>
      <c r="D632" t="s">
        <v>23</v>
      </c>
      <c r="E632" t="s">
        <v>43</v>
      </c>
      <c r="F632" t="s">
        <v>48</v>
      </c>
      <c r="G632" t="s">
        <v>68</v>
      </c>
      <c r="H632">
        <v>11</v>
      </c>
      <c r="I632">
        <v>184.05</v>
      </c>
      <c r="J632">
        <v>2024.55</v>
      </c>
      <c r="K632">
        <v>155.58000000000001</v>
      </c>
      <c r="L632">
        <v>313.17</v>
      </c>
      <c r="M632" t="s">
        <v>74</v>
      </c>
      <c r="N632" t="s">
        <v>77</v>
      </c>
    </row>
    <row r="633" spans="1:14" x14ac:dyDescent="0.3">
      <c r="A633">
        <v>2632</v>
      </c>
      <c r="B633" s="4">
        <v>44811</v>
      </c>
      <c r="C633">
        <v>2022</v>
      </c>
      <c r="D633" t="s">
        <v>22</v>
      </c>
      <c r="E633" t="s">
        <v>38</v>
      </c>
      <c r="F633" t="s">
        <v>67</v>
      </c>
      <c r="G633" t="s">
        <v>71</v>
      </c>
      <c r="H633">
        <v>13</v>
      </c>
      <c r="I633">
        <v>53.07</v>
      </c>
      <c r="J633">
        <v>689.91</v>
      </c>
      <c r="K633">
        <v>32.840000000000003</v>
      </c>
      <c r="L633">
        <v>262.99</v>
      </c>
      <c r="M633" t="s">
        <v>75</v>
      </c>
      <c r="N633" t="s">
        <v>79</v>
      </c>
    </row>
    <row r="634" spans="1:14" x14ac:dyDescent="0.3">
      <c r="A634">
        <v>2633</v>
      </c>
      <c r="B634" s="4">
        <v>45153</v>
      </c>
      <c r="C634">
        <v>2023</v>
      </c>
      <c r="D634" t="s">
        <v>15</v>
      </c>
      <c r="E634" t="s">
        <v>28</v>
      </c>
      <c r="F634" t="s">
        <v>48</v>
      </c>
      <c r="G634" t="s">
        <v>68</v>
      </c>
      <c r="H634">
        <v>18</v>
      </c>
      <c r="I634">
        <v>166.63</v>
      </c>
      <c r="J634">
        <v>2999.34</v>
      </c>
      <c r="K634">
        <v>145.69</v>
      </c>
      <c r="L634">
        <v>376.92</v>
      </c>
      <c r="M634" t="s">
        <v>75</v>
      </c>
      <c r="N634" t="s">
        <v>80</v>
      </c>
    </row>
    <row r="635" spans="1:14" x14ac:dyDescent="0.3">
      <c r="A635">
        <v>2634</v>
      </c>
      <c r="B635" s="4">
        <v>44949</v>
      </c>
      <c r="C635">
        <v>2023</v>
      </c>
      <c r="D635" t="s">
        <v>14</v>
      </c>
      <c r="E635" t="s">
        <v>30</v>
      </c>
      <c r="F635" t="s">
        <v>56</v>
      </c>
      <c r="G635" t="s">
        <v>70</v>
      </c>
      <c r="H635">
        <v>9</v>
      </c>
      <c r="I635">
        <v>188.19</v>
      </c>
      <c r="J635">
        <v>1693.71</v>
      </c>
      <c r="K635">
        <v>124.33</v>
      </c>
      <c r="L635">
        <v>574.74</v>
      </c>
      <c r="M635" t="s">
        <v>74</v>
      </c>
      <c r="N635" t="s">
        <v>77</v>
      </c>
    </row>
    <row r="636" spans="1:14" x14ac:dyDescent="0.3">
      <c r="A636">
        <v>2635</v>
      </c>
      <c r="B636" s="4">
        <v>45223</v>
      </c>
      <c r="C636">
        <v>2023</v>
      </c>
      <c r="D636" t="s">
        <v>14</v>
      </c>
      <c r="E636" t="s">
        <v>24</v>
      </c>
      <c r="F636" t="s">
        <v>63</v>
      </c>
      <c r="G636" t="s">
        <v>70</v>
      </c>
      <c r="H636">
        <v>13</v>
      </c>
      <c r="I636">
        <v>33.96</v>
      </c>
      <c r="J636">
        <v>441.48</v>
      </c>
      <c r="K636">
        <v>26.48</v>
      </c>
      <c r="L636">
        <v>97.24</v>
      </c>
      <c r="M636" t="s">
        <v>76</v>
      </c>
      <c r="N636" t="s">
        <v>77</v>
      </c>
    </row>
    <row r="637" spans="1:14" x14ac:dyDescent="0.3">
      <c r="A637">
        <v>2636</v>
      </c>
      <c r="B637" s="4">
        <v>45431</v>
      </c>
      <c r="C637">
        <v>2024</v>
      </c>
      <c r="D637" t="s">
        <v>14</v>
      </c>
      <c r="E637" t="s">
        <v>30</v>
      </c>
      <c r="F637" t="s">
        <v>56</v>
      </c>
      <c r="G637" t="s">
        <v>70</v>
      </c>
      <c r="H637">
        <v>10</v>
      </c>
      <c r="I637">
        <v>142.76</v>
      </c>
      <c r="J637">
        <v>1427.6</v>
      </c>
      <c r="K637">
        <v>116.62</v>
      </c>
      <c r="L637">
        <v>261.39999999999998</v>
      </c>
      <c r="M637" t="s">
        <v>75</v>
      </c>
      <c r="N637" t="s">
        <v>80</v>
      </c>
    </row>
    <row r="638" spans="1:14" x14ac:dyDescent="0.3">
      <c r="A638">
        <v>2637</v>
      </c>
      <c r="B638" s="4">
        <v>44786</v>
      </c>
      <c r="C638">
        <v>2022</v>
      </c>
      <c r="D638" t="s">
        <v>20</v>
      </c>
      <c r="E638" t="s">
        <v>32</v>
      </c>
      <c r="F638" t="s">
        <v>47</v>
      </c>
      <c r="G638" t="s">
        <v>71</v>
      </c>
      <c r="H638">
        <v>15</v>
      </c>
      <c r="I638">
        <v>35.67</v>
      </c>
      <c r="J638">
        <v>535.04999999999995</v>
      </c>
      <c r="K638">
        <v>25.97</v>
      </c>
      <c r="L638">
        <v>145.5</v>
      </c>
      <c r="M638" t="s">
        <v>76</v>
      </c>
      <c r="N638" t="s">
        <v>77</v>
      </c>
    </row>
    <row r="639" spans="1:14" x14ac:dyDescent="0.3">
      <c r="A639">
        <v>2638</v>
      </c>
      <c r="B639" s="4">
        <v>44845</v>
      </c>
      <c r="C639">
        <v>2022</v>
      </c>
      <c r="D639" t="s">
        <v>21</v>
      </c>
      <c r="E639" t="s">
        <v>33</v>
      </c>
      <c r="F639" t="s">
        <v>55</v>
      </c>
      <c r="G639" t="s">
        <v>71</v>
      </c>
      <c r="H639">
        <v>15</v>
      </c>
      <c r="I639">
        <v>93.01</v>
      </c>
      <c r="J639">
        <v>1395.15</v>
      </c>
      <c r="K639">
        <v>58.28</v>
      </c>
      <c r="L639">
        <v>520.95000000000005</v>
      </c>
      <c r="M639" t="s">
        <v>76</v>
      </c>
      <c r="N639" t="s">
        <v>78</v>
      </c>
    </row>
    <row r="640" spans="1:14" x14ac:dyDescent="0.3">
      <c r="A640">
        <v>2639</v>
      </c>
      <c r="B640" s="4">
        <v>44835</v>
      </c>
      <c r="C640">
        <v>2022</v>
      </c>
      <c r="D640" t="s">
        <v>18</v>
      </c>
      <c r="E640" t="s">
        <v>29</v>
      </c>
      <c r="F640" t="s">
        <v>54</v>
      </c>
      <c r="G640" t="s">
        <v>72</v>
      </c>
      <c r="H640">
        <v>14</v>
      </c>
      <c r="I640">
        <v>115.27</v>
      </c>
      <c r="J640">
        <v>1613.78</v>
      </c>
      <c r="K640">
        <v>78.569999999999993</v>
      </c>
      <c r="L640">
        <v>513.79999999999995</v>
      </c>
      <c r="M640" t="s">
        <v>75</v>
      </c>
      <c r="N640" t="s">
        <v>80</v>
      </c>
    </row>
    <row r="641" spans="1:14" x14ac:dyDescent="0.3">
      <c r="A641">
        <v>2640</v>
      </c>
      <c r="B641" s="4">
        <v>45589</v>
      </c>
      <c r="C641">
        <v>2024</v>
      </c>
      <c r="D641" t="s">
        <v>22</v>
      </c>
      <c r="E641" t="s">
        <v>38</v>
      </c>
      <c r="F641" t="s">
        <v>66</v>
      </c>
      <c r="G641" t="s">
        <v>72</v>
      </c>
      <c r="H641">
        <v>7</v>
      </c>
      <c r="I641">
        <v>99.57</v>
      </c>
      <c r="J641">
        <v>696.99</v>
      </c>
      <c r="K641">
        <v>61.6</v>
      </c>
      <c r="L641">
        <v>265.79000000000002</v>
      </c>
      <c r="M641" t="s">
        <v>74</v>
      </c>
      <c r="N641" t="s">
        <v>79</v>
      </c>
    </row>
    <row r="642" spans="1:14" x14ac:dyDescent="0.3">
      <c r="A642">
        <v>2641</v>
      </c>
      <c r="B642" s="4">
        <v>44897</v>
      </c>
      <c r="C642">
        <v>2022</v>
      </c>
      <c r="D642" t="s">
        <v>21</v>
      </c>
      <c r="E642" t="s">
        <v>33</v>
      </c>
      <c r="F642" t="s">
        <v>50</v>
      </c>
      <c r="G642" t="s">
        <v>73</v>
      </c>
      <c r="H642">
        <v>6</v>
      </c>
      <c r="I642">
        <v>178.22</v>
      </c>
      <c r="J642">
        <v>1069.32</v>
      </c>
      <c r="K642">
        <v>148.72999999999999</v>
      </c>
      <c r="L642">
        <v>176.94</v>
      </c>
      <c r="M642" t="s">
        <v>75</v>
      </c>
      <c r="N642" t="s">
        <v>79</v>
      </c>
    </row>
    <row r="643" spans="1:14" x14ac:dyDescent="0.3">
      <c r="A643">
        <v>2642</v>
      </c>
      <c r="B643" s="4">
        <v>45453</v>
      </c>
      <c r="C643">
        <v>2024</v>
      </c>
      <c r="D643" t="s">
        <v>15</v>
      </c>
      <c r="E643" t="s">
        <v>28</v>
      </c>
      <c r="F643" t="s">
        <v>62</v>
      </c>
      <c r="G643" t="s">
        <v>72</v>
      </c>
      <c r="H643">
        <v>10</v>
      </c>
      <c r="I643">
        <v>59.66</v>
      </c>
      <c r="J643">
        <v>596.6</v>
      </c>
      <c r="K643">
        <v>51.13</v>
      </c>
      <c r="L643">
        <v>85.3</v>
      </c>
      <c r="M643" t="s">
        <v>76</v>
      </c>
      <c r="N643" t="s">
        <v>80</v>
      </c>
    </row>
    <row r="644" spans="1:14" x14ac:dyDescent="0.3">
      <c r="A644">
        <v>2643</v>
      </c>
      <c r="B644" s="4">
        <v>45481</v>
      </c>
      <c r="C644">
        <v>2024</v>
      </c>
      <c r="D644" t="s">
        <v>18</v>
      </c>
      <c r="E644" t="s">
        <v>29</v>
      </c>
      <c r="F644" t="s">
        <v>59</v>
      </c>
      <c r="G644" t="s">
        <v>69</v>
      </c>
      <c r="H644">
        <v>9</v>
      </c>
      <c r="I644">
        <v>41.72</v>
      </c>
      <c r="J644">
        <v>375.48</v>
      </c>
      <c r="K644">
        <v>31.4</v>
      </c>
      <c r="L644">
        <v>92.88</v>
      </c>
      <c r="M644" t="s">
        <v>74</v>
      </c>
      <c r="N644" t="s">
        <v>78</v>
      </c>
    </row>
    <row r="645" spans="1:14" x14ac:dyDescent="0.3">
      <c r="A645">
        <v>2644</v>
      </c>
      <c r="B645" s="4">
        <v>45361</v>
      </c>
      <c r="C645">
        <v>2024</v>
      </c>
      <c r="D645" t="s">
        <v>14</v>
      </c>
      <c r="E645" t="s">
        <v>30</v>
      </c>
      <c r="F645" t="s">
        <v>60</v>
      </c>
      <c r="G645" t="s">
        <v>73</v>
      </c>
      <c r="H645">
        <v>2</v>
      </c>
      <c r="I645">
        <v>24.14</v>
      </c>
      <c r="J645">
        <v>48.28</v>
      </c>
      <c r="K645">
        <v>18.04</v>
      </c>
      <c r="L645">
        <v>12.2</v>
      </c>
      <c r="M645" t="s">
        <v>76</v>
      </c>
      <c r="N645" t="s">
        <v>79</v>
      </c>
    </row>
    <row r="646" spans="1:14" x14ac:dyDescent="0.3">
      <c r="A646">
        <v>2645</v>
      </c>
      <c r="B646" s="4">
        <v>44667</v>
      </c>
      <c r="C646">
        <v>2022</v>
      </c>
      <c r="D646" t="s">
        <v>21</v>
      </c>
      <c r="E646" t="s">
        <v>33</v>
      </c>
      <c r="F646" t="s">
        <v>48</v>
      </c>
      <c r="G646" t="s">
        <v>68</v>
      </c>
      <c r="H646">
        <v>11</v>
      </c>
      <c r="I646">
        <v>136.93</v>
      </c>
      <c r="J646">
        <v>1506.23</v>
      </c>
      <c r="K646">
        <v>120.37</v>
      </c>
      <c r="L646">
        <v>182.16</v>
      </c>
      <c r="M646" t="s">
        <v>75</v>
      </c>
      <c r="N646" t="s">
        <v>79</v>
      </c>
    </row>
    <row r="647" spans="1:14" x14ac:dyDescent="0.3">
      <c r="A647">
        <v>2646</v>
      </c>
      <c r="B647" s="4">
        <v>45237</v>
      </c>
      <c r="C647">
        <v>2023</v>
      </c>
      <c r="D647" t="s">
        <v>15</v>
      </c>
      <c r="E647" t="s">
        <v>28</v>
      </c>
      <c r="F647" t="s">
        <v>59</v>
      </c>
      <c r="G647" t="s">
        <v>69</v>
      </c>
      <c r="H647">
        <v>11</v>
      </c>
      <c r="I647">
        <v>193.56</v>
      </c>
      <c r="J647">
        <v>2129.16</v>
      </c>
      <c r="K647">
        <v>132.1</v>
      </c>
      <c r="L647">
        <v>676.06</v>
      </c>
      <c r="M647" t="s">
        <v>75</v>
      </c>
      <c r="N647" t="s">
        <v>79</v>
      </c>
    </row>
    <row r="648" spans="1:14" x14ac:dyDescent="0.3">
      <c r="A648">
        <v>2647</v>
      </c>
      <c r="B648" s="4">
        <v>45295</v>
      </c>
      <c r="C648">
        <v>2024</v>
      </c>
      <c r="D648" t="s">
        <v>22</v>
      </c>
      <c r="E648" t="s">
        <v>36</v>
      </c>
      <c r="F648" t="s">
        <v>47</v>
      </c>
      <c r="G648" t="s">
        <v>71</v>
      </c>
      <c r="H648">
        <v>11</v>
      </c>
      <c r="I648">
        <v>142.65</v>
      </c>
      <c r="J648">
        <v>1569.15</v>
      </c>
      <c r="K648">
        <v>115.24</v>
      </c>
      <c r="L648">
        <v>301.51</v>
      </c>
      <c r="M648" t="s">
        <v>75</v>
      </c>
      <c r="N648" t="s">
        <v>77</v>
      </c>
    </row>
    <row r="649" spans="1:14" x14ac:dyDescent="0.3">
      <c r="A649">
        <v>2648</v>
      </c>
      <c r="B649" s="4">
        <v>45085</v>
      </c>
      <c r="C649">
        <v>2023</v>
      </c>
      <c r="D649" t="s">
        <v>14</v>
      </c>
      <c r="E649" t="s">
        <v>24</v>
      </c>
      <c r="F649" t="s">
        <v>57</v>
      </c>
      <c r="G649" t="s">
        <v>73</v>
      </c>
      <c r="H649">
        <v>20</v>
      </c>
      <c r="I649">
        <v>97.88</v>
      </c>
      <c r="J649">
        <v>1957.6</v>
      </c>
      <c r="K649">
        <v>76.900000000000006</v>
      </c>
      <c r="L649">
        <v>419.6</v>
      </c>
      <c r="M649" t="s">
        <v>74</v>
      </c>
      <c r="N649" t="s">
        <v>77</v>
      </c>
    </row>
    <row r="650" spans="1:14" x14ac:dyDescent="0.3">
      <c r="A650">
        <v>2649</v>
      </c>
      <c r="B650" s="4">
        <v>44999</v>
      </c>
      <c r="C650">
        <v>2023</v>
      </c>
      <c r="D650" t="s">
        <v>22</v>
      </c>
      <c r="E650" t="s">
        <v>38</v>
      </c>
      <c r="F650" t="s">
        <v>53</v>
      </c>
      <c r="G650" t="s">
        <v>69</v>
      </c>
      <c r="H650">
        <v>9</v>
      </c>
      <c r="I650">
        <v>103.49</v>
      </c>
      <c r="J650">
        <v>931.41</v>
      </c>
      <c r="K650">
        <v>73.73</v>
      </c>
      <c r="L650">
        <v>267.83999999999997</v>
      </c>
      <c r="M650" t="s">
        <v>76</v>
      </c>
      <c r="N650" t="s">
        <v>78</v>
      </c>
    </row>
    <row r="651" spans="1:14" x14ac:dyDescent="0.3">
      <c r="A651">
        <v>2650</v>
      </c>
      <c r="B651" s="4">
        <v>45236</v>
      </c>
      <c r="C651">
        <v>2023</v>
      </c>
      <c r="D651" t="s">
        <v>18</v>
      </c>
      <c r="E651" t="s">
        <v>29</v>
      </c>
      <c r="F651" t="s">
        <v>66</v>
      </c>
      <c r="G651" t="s">
        <v>72</v>
      </c>
      <c r="H651">
        <v>8</v>
      </c>
      <c r="I651">
        <v>30.36</v>
      </c>
      <c r="J651">
        <v>242.88</v>
      </c>
      <c r="K651">
        <v>20.03</v>
      </c>
      <c r="L651">
        <v>82.64</v>
      </c>
      <c r="M651" t="s">
        <v>75</v>
      </c>
      <c r="N651" t="s">
        <v>80</v>
      </c>
    </row>
    <row r="652" spans="1:14" x14ac:dyDescent="0.3">
      <c r="A652">
        <v>2651</v>
      </c>
      <c r="B652" s="4">
        <v>45041</v>
      </c>
      <c r="C652">
        <v>2023</v>
      </c>
      <c r="D652" t="s">
        <v>18</v>
      </c>
      <c r="E652" t="s">
        <v>29</v>
      </c>
      <c r="F652" t="s">
        <v>64</v>
      </c>
      <c r="G652" t="s">
        <v>70</v>
      </c>
      <c r="H652">
        <v>9</v>
      </c>
      <c r="I652">
        <v>148.25</v>
      </c>
      <c r="J652">
        <v>1334.25</v>
      </c>
      <c r="K652">
        <v>117.64</v>
      </c>
      <c r="L652">
        <v>275.49</v>
      </c>
      <c r="M652" t="s">
        <v>74</v>
      </c>
      <c r="N652" t="s">
        <v>78</v>
      </c>
    </row>
    <row r="653" spans="1:14" x14ac:dyDescent="0.3">
      <c r="A653">
        <v>2652</v>
      </c>
      <c r="B653" s="4">
        <v>45066</v>
      </c>
      <c r="C653">
        <v>2023</v>
      </c>
      <c r="D653" t="s">
        <v>19</v>
      </c>
      <c r="E653" t="s">
        <v>42</v>
      </c>
      <c r="F653" t="s">
        <v>56</v>
      </c>
      <c r="G653" t="s">
        <v>70</v>
      </c>
      <c r="H653">
        <v>13</v>
      </c>
      <c r="I653">
        <v>69.41</v>
      </c>
      <c r="J653">
        <v>902.33</v>
      </c>
      <c r="K653">
        <v>49.71</v>
      </c>
      <c r="L653">
        <v>256.10000000000002</v>
      </c>
      <c r="M653" t="s">
        <v>74</v>
      </c>
      <c r="N653" t="s">
        <v>78</v>
      </c>
    </row>
    <row r="654" spans="1:14" x14ac:dyDescent="0.3">
      <c r="A654">
        <v>2653</v>
      </c>
      <c r="B654" s="4">
        <v>45239</v>
      </c>
      <c r="C654">
        <v>2023</v>
      </c>
      <c r="D654" t="s">
        <v>18</v>
      </c>
      <c r="E654" t="s">
        <v>29</v>
      </c>
      <c r="F654" t="s">
        <v>52</v>
      </c>
      <c r="G654" t="s">
        <v>71</v>
      </c>
      <c r="H654">
        <v>3</v>
      </c>
      <c r="I654">
        <v>140.54</v>
      </c>
      <c r="J654">
        <v>421.62</v>
      </c>
      <c r="K654">
        <v>91.27</v>
      </c>
      <c r="L654">
        <v>147.81</v>
      </c>
      <c r="M654" t="s">
        <v>76</v>
      </c>
      <c r="N654" t="s">
        <v>80</v>
      </c>
    </row>
    <row r="655" spans="1:14" x14ac:dyDescent="0.3">
      <c r="A655">
        <v>2654</v>
      </c>
      <c r="B655" s="4">
        <v>45326</v>
      </c>
      <c r="C655">
        <v>2024</v>
      </c>
      <c r="D655" t="s">
        <v>17</v>
      </c>
      <c r="E655" t="s">
        <v>27</v>
      </c>
      <c r="F655" t="s">
        <v>66</v>
      </c>
      <c r="G655" t="s">
        <v>72</v>
      </c>
      <c r="H655">
        <v>6</v>
      </c>
      <c r="I655">
        <v>164.11</v>
      </c>
      <c r="J655">
        <v>984.66</v>
      </c>
      <c r="K655">
        <v>124.12</v>
      </c>
      <c r="L655">
        <v>239.94</v>
      </c>
      <c r="M655" t="s">
        <v>74</v>
      </c>
      <c r="N655" t="s">
        <v>78</v>
      </c>
    </row>
    <row r="656" spans="1:14" x14ac:dyDescent="0.3">
      <c r="A656">
        <v>2655</v>
      </c>
      <c r="B656" s="4">
        <v>45633</v>
      </c>
      <c r="C656">
        <v>2024</v>
      </c>
      <c r="D656" t="s">
        <v>14</v>
      </c>
      <c r="E656" t="s">
        <v>24</v>
      </c>
      <c r="F656" t="s">
        <v>49</v>
      </c>
      <c r="G656" t="s">
        <v>72</v>
      </c>
      <c r="H656">
        <v>13</v>
      </c>
      <c r="I656">
        <v>74.81</v>
      </c>
      <c r="J656">
        <v>972.53</v>
      </c>
      <c r="K656">
        <v>58.75</v>
      </c>
      <c r="L656">
        <v>208.78</v>
      </c>
      <c r="M656" t="s">
        <v>76</v>
      </c>
      <c r="N656" t="s">
        <v>79</v>
      </c>
    </row>
    <row r="657" spans="1:14" x14ac:dyDescent="0.3">
      <c r="A657">
        <v>2656</v>
      </c>
      <c r="B657" s="4">
        <v>44879</v>
      </c>
      <c r="C657">
        <v>2022</v>
      </c>
      <c r="D657" t="s">
        <v>17</v>
      </c>
      <c r="E657" t="s">
        <v>27</v>
      </c>
      <c r="F657" t="s">
        <v>62</v>
      </c>
      <c r="G657" t="s">
        <v>72</v>
      </c>
      <c r="H657">
        <v>10</v>
      </c>
      <c r="I657">
        <v>36.979999999999997</v>
      </c>
      <c r="J657">
        <v>369.8</v>
      </c>
      <c r="K657">
        <v>29.1</v>
      </c>
      <c r="L657">
        <v>78.8</v>
      </c>
      <c r="M657" t="s">
        <v>75</v>
      </c>
      <c r="N657" t="s">
        <v>80</v>
      </c>
    </row>
    <row r="658" spans="1:14" x14ac:dyDescent="0.3">
      <c r="A658">
        <v>2657</v>
      </c>
      <c r="B658" s="4">
        <v>44937</v>
      </c>
      <c r="C658">
        <v>2023</v>
      </c>
      <c r="D658" t="s">
        <v>23</v>
      </c>
      <c r="E658" t="s">
        <v>43</v>
      </c>
      <c r="F658" t="s">
        <v>49</v>
      </c>
      <c r="G658" t="s">
        <v>72</v>
      </c>
      <c r="H658">
        <v>9</v>
      </c>
      <c r="I658">
        <v>189.37</v>
      </c>
      <c r="J658">
        <v>1704.33</v>
      </c>
      <c r="K658">
        <v>152.72999999999999</v>
      </c>
      <c r="L658">
        <v>329.76</v>
      </c>
      <c r="M658" t="s">
        <v>76</v>
      </c>
      <c r="N658" t="s">
        <v>77</v>
      </c>
    </row>
    <row r="659" spans="1:14" x14ac:dyDescent="0.3">
      <c r="A659">
        <v>2658</v>
      </c>
      <c r="B659" s="4">
        <v>45040</v>
      </c>
      <c r="C659">
        <v>2023</v>
      </c>
      <c r="D659" t="s">
        <v>18</v>
      </c>
      <c r="E659" t="s">
        <v>29</v>
      </c>
      <c r="F659" t="s">
        <v>60</v>
      </c>
      <c r="G659" t="s">
        <v>73</v>
      </c>
      <c r="H659">
        <v>17</v>
      </c>
      <c r="I659">
        <v>41.03</v>
      </c>
      <c r="J659">
        <v>697.51</v>
      </c>
      <c r="K659">
        <v>25.17</v>
      </c>
      <c r="L659">
        <v>269.62</v>
      </c>
      <c r="M659" t="s">
        <v>74</v>
      </c>
      <c r="N659" t="s">
        <v>77</v>
      </c>
    </row>
    <row r="660" spans="1:14" x14ac:dyDescent="0.3">
      <c r="A660">
        <v>2659</v>
      </c>
      <c r="B660" s="4">
        <v>44760</v>
      </c>
      <c r="C660">
        <v>2022</v>
      </c>
      <c r="D660" t="s">
        <v>15</v>
      </c>
      <c r="E660" t="s">
        <v>28</v>
      </c>
      <c r="F660" t="s">
        <v>49</v>
      </c>
      <c r="G660" t="s">
        <v>72</v>
      </c>
      <c r="H660">
        <v>5</v>
      </c>
      <c r="I660">
        <v>62.67</v>
      </c>
      <c r="J660">
        <v>313.35000000000002</v>
      </c>
      <c r="K660">
        <v>53.62</v>
      </c>
      <c r="L660">
        <v>45.25</v>
      </c>
      <c r="M660" t="s">
        <v>76</v>
      </c>
      <c r="N660" t="s">
        <v>77</v>
      </c>
    </row>
    <row r="661" spans="1:14" x14ac:dyDescent="0.3">
      <c r="A661">
        <v>2660</v>
      </c>
      <c r="B661" s="4">
        <v>45581</v>
      </c>
      <c r="C661">
        <v>2024</v>
      </c>
      <c r="D661" t="s">
        <v>18</v>
      </c>
      <c r="E661" t="s">
        <v>29</v>
      </c>
      <c r="F661" t="s">
        <v>51</v>
      </c>
      <c r="G661" t="s">
        <v>69</v>
      </c>
      <c r="H661">
        <v>11</v>
      </c>
      <c r="I661">
        <v>25.73</v>
      </c>
      <c r="J661">
        <v>283.02999999999997</v>
      </c>
      <c r="K661">
        <v>20.3</v>
      </c>
      <c r="L661">
        <v>59.73</v>
      </c>
      <c r="M661" t="s">
        <v>75</v>
      </c>
      <c r="N661" t="s">
        <v>77</v>
      </c>
    </row>
    <row r="662" spans="1:14" x14ac:dyDescent="0.3">
      <c r="A662">
        <v>2661</v>
      </c>
      <c r="B662" s="4">
        <v>44787</v>
      </c>
      <c r="C662">
        <v>2022</v>
      </c>
      <c r="D662" t="s">
        <v>22</v>
      </c>
      <c r="E662" t="s">
        <v>38</v>
      </c>
      <c r="F662" t="s">
        <v>63</v>
      </c>
      <c r="G662" t="s">
        <v>70</v>
      </c>
      <c r="H662">
        <v>16</v>
      </c>
      <c r="I662">
        <v>140.78</v>
      </c>
      <c r="J662">
        <v>2252.48</v>
      </c>
      <c r="K662">
        <v>117.5</v>
      </c>
      <c r="L662">
        <v>372.48</v>
      </c>
      <c r="M662" t="s">
        <v>74</v>
      </c>
      <c r="N662" t="s">
        <v>77</v>
      </c>
    </row>
    <row r="663" spans="1:14" x14ac:dyDescent="0.3">
      <c r="A663">
        <v>2662</v>
      </c>
      <c r="B663" s="4">
        <v>45292</v>
      </c>
      <c r="C663">
        <v>2024</v>
      </c>
      <c r="D663" t="s">
        <v>14</v>
      </c>
      <c r="E663" t="s">
        <v>24</v>
      </c>
      <c r="F663" t="s">
        <v>55</v>
      </c>
      <c r="G663" t="s">
        <v>71</v>
      </c>
      <c r="H663">
        <v>12</v>
      </c>
      <c r="I663">
        <v>31.42</v>
      </c>
      <c r="J663">
        <v>377.04</v>
      </c>
      <c r="K663">
        <v>27.67</v>
      </c>
      <c r="L663">
        <v>45</v>
      </c>
      <c r="M663" t="s">
        <v>75</v>
      </c>
      <c r="N663" t="s">
        <v>80</v>
      </c>
    </row>
    <row r="664" spans="1:14" x14ac:dyDescent="0.3">
      <c r="A664">
        <v>2663</v>
      </c>
      <c r="B664" s="4">
        <v>45041</v>
      </c>
      <c r="C664">
        <v>2023</v>
      </c>
      <c r="D664" t="s">
        <v>22</v>
      </c>
      <c r="E664" t="s">
        <v>38</v>
      </c>
      <c r="F664" t="s">
        <v>59</v>
      </c>
      <c r="G664" t="s">
        <v>69</v>
      </c>
      <c r="H664">
        <v>3</v>
      </c>
      <c r="I664">
        <v>57.95</v>
      </c>
      <c r="J664">
        <v>173.85</v>
      </c>
      <c r="K664">
        <v>39.729999999999997</v>
      </c>
      <c r="L664">
        <v>54.66</v>
      </c>
      <c r="M664" t="s">
        <v>74</v>
      </c>
      <c r="N664" t="s">
        <v>79</v>
      </c>
    </row>
    <row r="665" spans="1:14" x14ac:dyDescent="0.3">
      <c r="A665">
        <v>2664</v>
      </c>
      <c r="B665" s="4">
        <v>45614</v>
      </c>
      <c r="C665">
        <v>2024</v>
      </c>
      <c r="D665" t="s">
        <v>15</v>
      </c>
      <c r="E665" t="s">
        <v>25</v>
      </c>
      <c r="F665" t="s">
        <v>55</v>
      </c>
      <c r="G665" t="s">
        <v>71</v>
      </c>
      <c r="H665">
        <v>20</v>
      </c>
      <c r="I665">
        <v>119.43</v>
      </c>
      <c r="J665">
        <v>2388.6</v>
      </c>
      <c r="K665">
        <v>107.3</v>
      </c>
      <c r="L665">
        <v>242.6</v>
      </c>
      <c r="M665" t="s">
        <v>74</v>
      </c>
      <c r="N665" t="s">
        <v>80</v>
      </c>
    </row>
    <row r="666" spans="1:14" x14ac:dyDescent="0.3">
      <c r="A666">
        <v>2665</v>
      </c>
      <c r="B666" s="4">
        <v>45536</v>
      </c>
      <c r="C666">
        <v>2024</v>
      </c>
      <c r="D666" t="s">
        <v>19</v>
      </c>
      <c r="E666" t="s">
        <v>31</v>
      </c>
      <c r="F666" t="s">
        <v>51</v>
      </c>
      <c r="G666" t="s">
        <v>69</v>
      </c>
      <c r="H666">
        <v>3</v>
      </c>
      <c r="I666">
        <v>184.03</v>
      </c>
      <c r="J666">
        <v>552.09</v>
      </c>
      <c r="K666">
        <v>112.1</v>
      </c>
      <c r="L666">
        <v>215.79</v>
      </c>
      <c r="M666" t="s">
        <v>76</v>
      </c>
      <c r="N666" t="s">
        <v>78</v>
      </c>
    </row>
    <row r="667" spans="1:14" x14ac:dyDescent="0.3">
      <c r="A667">
        <v>2666</v>
      </c>
      <c r="B667" s="4">
        <v>44874</v>
      </c>
      <c r="C667">
        <v>2022</v>
      </c>
      <c r="D667" t="s">
        <v>16</v>
      </c>
      <c r="E667" t="s">
        <v>35</v>
      </c>
      <c r="F667" t="s">
        <v>56</v>
      </c>
      <c r="G667" t="s">
        <v>70</v>
      </c>
      <c r="H667">
        <v>9</v>
      </c>
      <c r="I667">
        <v>52.83</v>
      </c>
      <c r="J667">
        <v>475.47</v>
      </c>
      <c r="K667">
        <v>34.61</v>
      </c>
      <c r="L667">
        <v>163.98</v>
      </c>
      <c r="M667" t="s">
        <v>76</v>
      </c>
      <c r="N667" t="s">
        <v>79</v>
      </c>
    </row>
    <row r="668" spans="1:14" x14ac:dyDescent="0.3">
      <c r="A668">
        <v>2667</v>
      </c>
      <c r="B668" s="4">
        <v>45308</v>
      </c>
      <c r="C668">
        <v>2024</v>
      </c>
      <c r="D668" t="s">
        <v>22</v>
      </c>
      <c r="E668" t="s">
        <v>36</v>
      </c>
      <c r="F668" t="s">
        <v>64</v>
      </c>
      <c r="G668" t="s">
        <v>70</v>
      </c>
      <c r="H668">
        <v>8</v>
      </c>
      <c r="I668">
        <v>72.23</v>
      </c>
      <c r="J668">
        <v>577.84</v>
      </c>
      <c r="K668">
        <v>64.47</v>
      </c>
      <c r="L668">
        <v>62.08</v>
      </c>
      <c r="M668" t="s">
        <v>75</v>
      </c>
      <c r="N668" t="s">
        <v>77</v>
      </c>
    </row>
    <row r="669" spans="1:14" x14ac:dyDescent="0.3">
      <c r="A669">
        <v>2668</v>
      </c>
      <c r="B669" s="4">
        <v>45250</v>
      </c>
      <c r="C669">
        <v>2023</v>
      </c>
      <c r="D669" t="s">
        <v>21</v>
      </c>
      <c r="E669" t="s">
        <v>41</v>
      </c>
      <c r="F669" t="s">
        <v>48</v>
      </c>
      <c r="G669" t="s">
        <v>68</v>
      </c>
      <c r="H669">
        <v>5</v>
      </c>
      <c r="I669">
        <v>118.88</v>
      </c>
      <c r="J669">
        <v>594.4</v>
      </c>
      <c r="K669">
        <v>79.209999999999994</v>
      </c>
      <c r="L669">
        <v>198.35</v>
      </c>
      <c r="M669" t="s">
        <v>76</v>
      </c>
      <c r="N669" t="s">
        <v>77</v>
      </c>
    </row>
    <row r="670" spans="1:14" x14ac:dyDescent="0.3">
      <c r="A670">
        <v>2669</v>
      </c>
      <c r="B670" s="4">
        <v>45366</v>
      </c>
      <c r="C670">
        <v>2024</v>
      </c>
      <c r="D670" t="s">
        <v>16</v>
      </c>
      <c r="E670" t="s">
        <v>35</v>
      </c>
      <c r="F670" t="s">
        <v>56</v>
      </c>
      <c r="G670" t="s">
        <v>70</v>
      </c>
      <c r="H670">
        <v>2</v>
      </c>
      <c r="I670">
        <v>49.23</v>
      </c>
      <c r="J670">
        <v>98.46</v>
      </c>
      <c r="K670">
        <v>42.11</v>
      </c>
      <c r="L670">
        <v>14.24</v>
      </c>
      <c r="M670" t="s">
        <v>74</v>
      </c>
      <c r="N670" t="s">
        <v>80</v>
      </c>
    </row>
    <row r="671" spans="1:14" x14ac:dyDescent="0.3">
      <c r="A671">
        <v>2670</v>
      </c>
      <c r="B671" s="4">
        <v>44705</v>
      </c>
      <c r="C671">
        <v>2022</v>
      </c>
      <c r="D671" t="s">
        <v>20</v>
      </c>
      <c r="E671" t="s">
        <v>40</v>
      </c>
      <c r="F671" t="s">
        <v>45</v>
      </c>
      <c r="G671" t="s">
        <v>69</v>
      </c>
      <c r="H671">
        <v>18</v>
      </c>
      <c r="I671">
        <v>154.97999999999999</v>
      </c>
      <c r="J671">
        <v>2789.64</v>
      </c>
      <c r="K671">
        <v>100.38</v>
      </c>
      <c r="L671">
        <v>982.8</v>
      </c>
      <c r="M671" t="s">
        <v>74</v>
      </c>
      <c r="N671" t="s">
        <v>77</v>
      </c>
    </row>
    <row r="672" spans="1:14" x14ac:dyDescent="0.3">
      <c r="A672">
        <v>2671</v>
      </c>
      <c r="B672" s="4">
        <v>45148</v>
      </c>
      <c r="C672">
        <v>2023</v>
      </c>
      <c r="D672" t="s">
        <v>20</v>
      </c>
      <c r="E672" t="s">
        <v>40</v>
      </c>
      <c r="F672" t="s">
        <v>44</v>
      </c>
      <c r="G672" t="s">
        <v>68</v>
      </c>
      <c r="H672">
        <v>15</v>
      </c>
      <c r="I672">
        <v>38.42</v>
      </c>
      <c r="J672">
        <v>576.29999999999995</v>
      </c>
      <c r="K672">
        <v>31.36</v>
      </c>
      <c r="L672">
        <v>105.9</v>
      </c>
      <c r="M672" t="s">
        <v>75</v>
      </c>
      <c r="N672" t="s">
        <v>79</v>
      </c>
    </row>
    <row r="673" spans="1:14" x14ac:dyDescent="0.3">
      <c r="A673">
        <v>2672</v>
      </c>
      <c r="B673" s="4">
        <v>44896</v>
      </c>
      <c r="C673">
        <v>2022</v>
      </c>
      <c r="D673" t="s">
        <v>22</v>
      </c>
      <c r="E673" t="s">
        <v>38</v>
      </c>
      <c r="F673" t="s">
        <v>64</v>
      </c>
      <c r="G673" t="s">
        <v>70</v>
      </c>
      <c r="H673">
        <v>12</v>
      </c>
      <c r="I673">
        <v>94.02</v>
      </c>
      <c r="J673">
        <v>1128.24</v>
      </c>
      <c r="K673">
        <v>78.37</v>
      </c>
      <c r="L673">
        <v>187.8</v>
      </c>
      <c r="M673" t="s">
        <v>74</v>
      </c>
      <c r="N673" t="s">
        <v>80</v>
      </c>
    </row>
    <row r="674" spans="1:14" x14ac:dyDescent="0.3">
      <c r="A674">
        <v>2673</v>
      </c>
      <c r="B674" s="4">
        <v>45520</v>
      </c>
      <c r="C674">
        <v>2024</v>
      </c>
      <c r="D674" t="s">
        <v>20</v>
      </c>
      <c r="E674" t="s">
        <v>32</v>
      </c>
      <c r="F674" t="s">
        <v>56</v>
      </c>
      <c r="G674" t="s">
        <v>70</v>
      </c>
      <c r="H674">
        <v>14</v>
      </c>
      <c r="I674">
        <v>84.65</v>
      </c>
      <c r="J674">
        <v>1185.0999999999999</v>
      </c>
      <c r="K674">
        <v>51.39</v>
      </c>
      <c r="L674">
        <v>465.64</v>
      </c>
      <c r="M674" t="s">
        <v>75</v>
      </c>
      <c r="N674" t="s">
        <v>77</v>
      </c>
    </row>
    <row r="675" spans="1:14" x14ac:dyDescent="0.3">
      <c r="A675">
        <v>2674</v>
      </c>
      <c r="B675" s="4">
        <v>45147</v>
      </c>
      <c r="C675">
        <v>2023</v>
      </c>
      <c r="D675" t="s">
        <v>18</v>
      </c>
      <c r="E675" t="s">
        <v>29</v>
      </c>
      <c r="F675" t="s">
        <v>44</v>
      </c>
      <c r="G675" t="s">
        <v>68</v>
      </c>
      <c r="H675">
        <v>6</v>
      </c>
      <c r="I675">
        <v>28.74</v>
      </c>
      <c r="J675">
        <v>172.44</v>
      </c>
      <c r="K675">
        <v>20.45</v>
      </c>
      <c r="L675">
        <v>49.74</v>
      </c>
      <c r="M675" t="s">
        <v>75</v>
      </c>
      <c r="N675" t="s">
        <v>78</v>
      </c>
    </row>
    <row r="676" spans="1:14" x14ac:dyDescent="0.3">
      <c r="A676">
        <v>2675</v>
      </c>
      <c r="B676" s="4">
        <v>45211</v>
      </c>
      <c r="C676">
        <v>2023</v>
      </c>
      <c r="D676" t="s">
        <v>22</v>
      </c>
      <c r="E676" t="s">
        <v>38</v>
      </c>
      <c r="F676" t="s">
        <v>62</v>
      </c>
      <c r="G676" t="s">
        <v>72</v>
      </c>
      <c r="H676">
        <v>5</v>
      </c>
      <c r="I676">
        <v>182.51</v>
      </c>
      <c r="J676">
        <v>912.55</v>
      </c>
      <c r="K676">
        <v>147.59</v>
      </c>
      <c r="L676">
        <v>174.6</v>
      </c>
      <c r="M676" t="s">
        <v>76</v>
      </c>
      <c r="N676" t="s">
        <v>79</v>
      </c>
    </row>
    <row r="677" spans="1:14" x14ac:dyDescent="0.3">
      <c r="A677">
        <v>2676</v>
      </c>
      <c r="B677" s="4">
        <v>45372</v>
      </c>
      <c r="C677">
        <v>2024</v>
      </c>
      <c r="D677" t="s">
        <v>14</v>
      </c>
      <c r="E677" t="s">
        <v>24</v>
      </c>
      <c r="F677" t="s">
        <v>60</v>
      </c>
      <c r="G677" t="s">
        <v>73</v>
      </c>
      <c r="H677">
        <v>12</v>
      </c>
      <c r="I677">
        <v>102.87</v>
      </c>
      <c r="J677">
        <v>1234.44</v>
      </c>
      <c r="K677">
        <v>85.96</v>
      </c>
      <c r="L677">
        <v>202.92</v>
      </c>
      <c r="M677" t="s">
        <v>75</v>
      </c>
      <c r="N677" t="s">
        <v>77</v>
      </c>
    </row>
    <row r="678" spans="1:14" x14ac:dyDescent="0.3">
      <c r="A678">
        <v>2677</v>
      </c>
      <c r="B678" s="4">
        <v>44933</v>
      </c>
      <c r="C678">
        <v>2023</v>
      </c>
      <c r="D678" t="s">
        <v>18</v>
      </c>
      <c r="E678" t="s">
        <v>29</v>
      </c>
      <c r="F678" t="s">
        <v>56</v>
      </c>
      <c r="G678" t="s">
        <v>70</v>
      </c>
      <c r="H678">
        <v>2</v>
      </c>
      <c r="I678">
        <v>31.79</v>
      </c>
      <c r="J678">
        <v>63.58</v>
      </c>
      <c r="K678">
        <v>27.13</v>
      </c>
      <c r="L678">
        <v>9.32</v>
      </c>
      <c r="M678" t="s">
        <v>74</v>
      </c>
      <c r="N678" t="s">
        <v>80</v>
      </c>
    </row>
    <row r="679" spans="1:14" x14ac:dyDescent="0.3">
      <c r="A679">
        <v>2678</v>
      </c>
      <c r="B679" s="4">
        <v>44936</v>
      </c>
      <c r="C679">
        <v>2023</v>
      </c>
      <c r="D679" t="s">
        <v>19</v>
      </c>
      <c r="E679" t="s">
        <v>39</v>
      </c>
      <c r="F679" t="s">
        <v>60</v>
      </c>
      <c r="G679" t="s">
        <v>73</v>
      </c>
      <c r="H679">
        <v>13</v>
      </c>
      <c r="I679">
        <v>189.77</v>
      </c>
      <c r="J679">
        <v>2467.0100000000002</v>
      </c>
      <c r="K679">
        <v>151.35</v>
      </c>
      <c r="L679">
        <v>499.46</v>
      </c>
      <c r="M679" t="s">
        <v>75</v>
      </c>
      <c r="N679" t="s">
        <v>77</v>
      </c>
    </row>
    <row r="680" spans="1:14" x14ac:dyDescent="0.3">
      <c r="A680">
        <v>2679</v>
      </c>
      <c r="B680" s="4">
        <v>44745</v>
      </c>
      <c r="C680">
        <v>2022</v>
      </c>
      <c r="D680" t="s">
        <v>19</v>
      </c>
      <c r="E680" t="s">
        <v>39</v>
      </c>
      <c r="F680" t="s">
        <v>61</v>
      </c>
      <c r="G680" t="s">
        <v>68</v>
      </c>
      <c r="H680">
        <v>9</v>
      </c>
      <c r="I680">
        <v>100.86</v>
      </c>
      <c r="J680">
        <v>907.74</v>
      </c>
      <c r="K680">
        <v>86.03</v>
      </c>
      <c r="L680">
        <v>133.47</v>
      </c>
      <c r="M680" t="s">
        <v>75</v>
      </c>
      <c r="N680" t="s">
        <v>77</v>
      </c>
    </row>
    <row r="681" spans="1:14" x14ac:dyDescent="0.3">
      <c r="A681">
        <v>2680</v>
      </c>
      <c r="B681" s="4">
        <v>44854</v>
      </c>
      <c r="C681">
        <v>2022</v>
      </c>
      <c r="D681" t="s">
        <v>20</v>
      </c>
      <c r="E681" t="s">
        <v>40</v>
      </c>
      <c r="F681" t="s">
        <v>65</v>
      </c>
      <c r="G681" t="s">
        <v>73</v>
      </c>
      <c r="H681">
        <v>8</v>
      </c>
      <c r="I681">
        <v>97.33</v>
      </c>
      <c r="J681">
        <v>778.64</v>
      </c>
      <c r="K681">
        <v>71.17</v>
      </c>
      <c r="L681">
        <v>209.28</v>
      </c>
      <c r="M681" t="s">
        <v>75</v>
      </c>
      <c r="N681" t="s">
        <v>77</v>
      </c>
    </row>
    <row r="682" spans="1:14" x14ac:dyDescent="0.3">
      <c r="A682">
        <v>2681</v>
      </c>
      <c r="B682" s="4">
        <v>44738</v>
      </c>
      <c r="C682">
        <v>2022</v>
      </c>
      <c r="D682" t="s">
        <v>14</v>
      </c>
      <c r="E682" t="s">
        <v>24</v>
      </c>
      <c r="F682" t="s">
        <v>59</v>
      </c>
      <c r="G682" t="s">
        <v>69</v>
      </c>
      <c r="H682">
        <v>3</v>
      </c>
      <c r="I682">
        <v>164.93</v>
      </c>
      <c r="J682">
        <v>494.79</v>
      </c>
      <c r="K682">
        <v>118.61</v>
      </c>
      <c r="L682">
        <v>138.96</v>
      </c>
      <c r="M682" t="s">
        <v>75</v>
      </c>
      <c r="N682" t="s">
        <v>79</v>
      </c>
    </row>
    <row r="683" spans="1:14" x14ac:dyDescent="0.3">
      <c r="A683">
        <v>2682</v>
      </c>
      <c r="B683" s="4">
        <v>44677</v>
      </c>
      <c r="C683">
        <v>2022</v>
      </c>
      <c r="D683" t="s">
        <v>21</v>
      </c>
      <c r="E683" t="s">
        <v>33</v>
      </c>
      <c r="F683" t="s">
        <v>55</v>
      </c>
      <c r="G683" t="s">
        <v>71</v>
      </c>
      <c r="H683">
        <v>9</v>
      </c>
      <c r="I683">
        <v>106.65</v>
      </c>
      <c r="J683">
        <v>959.85</v>
      </c>
      <c r="K683">
        <v>67.59</v>
      </c>
      <c r="L683">
        <v>351.54</v>
      </c>
      <c r="M683" t="s">
        <v>74</v>
      </c>
      <c r="N683" t="s">
        <v>79</v>
      </c>
    </row>
    <row r="684" spans="1:14" x14ac:dyDescent="0.3">
      <c r="A684">
        <v>2683</v>
      </c>
      <c r="B684" s="4">
        <v>45644</v>
      </c>
      <c r="C684">
        <v>2024</v>
      </c>
      <c r="D684" t="s">
        <v>18</v>
      </c>
      <c r="E684" t="s">
        <v>29</v>
      </c>
      <c r="F684" t="s">
        <v>57</v>
      </c>
      <c r="G684" t="s">
        <v>73</v>
      </c>
      <c r="H684">
        <v>14</v>
      </c>
      <c r="I684">
        <v>24.17</v>
      </c>
      <c r="J684">
        <v>338.38</v>
      </c>
      <c r="K684">
        <v>19.22</v>
      </c>
      <c r="L684">
        <v>69.3</v>
      </c>
      <c r="M684" t="s">
        <v>74</v>
      </c>
      <c r="N684" t="s">
        <v>77</v>
      </c>
    </row>
    <row r="685" spans="1:14" x14ac:dyDescent="0.3">
      <c r="A685">
        <v>2684</v>
      </c>
      <c r="B685" s="4">
        <v>45378</v>
      </c>
      <c r="C685">
        <v>2024</v>
      </c>
      <c r="D685" t="s">
        <v>17</v>
      </c>
      <c r="E685" t="s">
        <v>27</v>
      </c>
      <c r="F685" t="s">
        <v>49</v>
      </c>
      <c r="G685" t="s">
        <v>72</v>
      </c>
      <c r="H685">
        <v>20</v>
      </c>
      <c r="I685">
        <v>102.85</v>
      </c>
      <c r="J685">
        <v>2057</v>
      </c>
      <c r="K685">
        <v>84.96</v>
      </c>
      <c r="L685">
        <v>357.8</v>
      </c>
      <c r="M685" t="s">
        <v>76</v>
      </c>
      <c r="N685" t="s">
        <v>79</v>
      </c>
    </row>
    <row r="686" spans="1:14" x14ac:dyDescent="0.3">
      <c r="A686">
        <v>2685</v>
      </c>
      <c r="B686" s="4">
        <v>45066</v>
      </c>
      <c r="C686">
        <v>2023</v>
      </c>
      <c r="D686" t="s">
        <v>14</v>
      </c>
      <c r="E686" t="s">
        <v>30</v>
      </c>
      <c r="F686" t="s">
        <v>45</v>
      </c>
      <c r="G686" t="s">
        <v>69</v>
      </c>
      <c r="H686">
        <v>18</v>
      </c>
      <c r="I686">
        <v>91.67</v>
      </c>
      <c r="J686">
        <v>1650.06</v>
      </c>
      <c r="K686">
        <v>67.48</v>
      </c>
      <c r="L686">
        <v>435.42</v>
      </c>
      <c r="M686" t="s">
        <v>75</v>
      </c>
      <c r="N686" t="s">
        <v>78</v>
      </c>
    </row>
    <row r="687" spans="1:14" x14ac:dyDescent="0.3">
      <c r="A687">
        <v>2686</v>
      </c>
      <c r="B687" s="4">
        <v>45446</v>
      </c>
      <c r="C687">
        <v>2024</v>
      </c>
      <c r="D687" t="s">
        <v>14</v>
      </c>
      <c r="E687" t="s">
        <v>30</v>
      </c>
      <c r="F687" t="s">
        <v>61</v>
      </c>
      <c r="G687" t="s">
        <v>68</v>
      </c>
      <c r="H687">
        <v>11</v>
      </c>
      <c r="I687">
        <v>174.01</v>
      </c>
      <c r="J687">
        <v>1914.11</v>
      </c>
      <c r="K687">
        <v>131.76</v>
      </c>
      <c r="L687">
        <v>464.75</v>
      </c>
      <c r="M687" t="s">
        <v>74</v>
      </c>
      <c r="N687" t="s">
        <v>77</v>
      </c>
    </row>
    <row r="688" spans="1:14" x14ac:dyDescent="0.3">
      <c r="A688">
        <v>2687</v>
      </c>
      <c r="B688" s="4">
        <v>45548</v>
      </c>
      <c r="C688">
        <v>2024</v>
      </c>
      <c r="D688" t="s">
        <v>20</v>
      </c>
      <c r="E688" t="s">
        <v>32</v>
      </c>
      <c r="F688" t="s">
        <v>53</v>
      </c>
      <c r="G688" t="s">
        <v>69</v>
      </c>
      <c r="H688">
        <v>20</v>
      </c>
      <c r="I688">
        <v>97.52</v>
      </c>
      <c r="J688">
        <v>1950.4</v>
      </c>
      <c r="K688">
        <v>66.88</v>
      </c>
      <c r="L688">
        <v>612.79999999999995</v>
      </c>
      <c r="M688" t="s">
        <v>75</v>
      </c>
      <c r="N688" t="s">
        <v>80</v>
      </c>
    </row>
    <row r="689" spans="1:14" x14ac:dyDescent="0.3">
      <c r="A689">
        <v>2688</v>
      </c>
      <c r="B689" s="4">
        <v>45255</v>
      </c>
      <c r="C689">
        <v>2023</v>
      </c>
      <c r="D689" t="s">
        <v>14</v>
      </c>
      <c r="E689" t="s">
        <v>24</v>
      </c>
      <c r="F689" t="s">
        <v>58</v>
      </c>
      <c r="G689" t="s">
        <v>68</v>
      </c>
      <c r="H689">
        <v>9</v>
      </c>
      <c r="I689">
        <v>100.05</v>
      </c>
      <c r="J689">
        <v>900.45</v>
      </c>
      <c r="K689">
        <v>83.03</v>
      </c>
      <c r="L689">
        <v>153.18</v>
      </c>
      <c r="M689" t="s">
        <v>75</v>
      </c>
      <c r="N689" t="s">
        <v>79</v>
      </c>
    </row>
    <row r="690" spans="1:14" x14ac:dyDescent="0.3">
      <c r="A690">
        <v>2689</v>
      </c>
      <c r="B690" s="4">
        <v>44819</v>
      </c>
      <c r="C690">
        <v>2022</v>
      </c>
      <c r="D690" t="s">
        <v>22</v>
      </c>
      <c r="E690" t="s">
        <v>36</v>
      </c>
      <c r="F690" t="s">
        <v>50</v>
      </c>
      <c r="G690" t="s">
        <v>73</v>
      </c>
      <c r="H690">
        <v>14</v>
      </c>
      <c r="I690">
        <v>139.13</v>
      </c>
      <c r="J690">
        <v>1947.82</v>
      </c>
      <c r="K690">
        <v>107.06</v>
      </c>
      <c r="L690">
        <v>448.98</v>
      </c>
      <c r="M690" t="s">
        <v>74</v>
      </c>
      <c r="N690" t="s">
        <v>79</v>
      </c>
    </row>
    <row r="691" spans="1:14" x14ac:dyDescent="0.3">
      <c r="A691">
        <v>2690</v>
      </c>
      <c r="B691" s="4">
        <v>45349</v>
      </c>
      <c r="C691">
        <v>2024</v>
      </c>
      <c r="D691" t="s">
        <v>17</v>
      </c>
      <c r="E691" t="s">
        <v>27</v>
      </c>
      <c r="F691" t="s">
        <v>50</v>
      </c>
      <c r="G691" t="s">
        <v>73</v>
      </c>
      <c r="H691">
        <v>17</v>
      </c>
      <c r="I691">
        <v>85.68</v>
      </c>
      <c r="J691">
        <v>1456.56</v>
      </c>
      <c r="K691">
        <v>57.62</v>
      </c>
      <c r="L691">
        <v>477.02</v>
      </c>
      <c r="M691" t="s">
        <v>76</v>
      </c>
      <c r="N691" t="s">
        <v>77</v>
      </c>
    </row>
    <row r="692" spans="1:14" x14ac:dyDescent="0.3">
      <c r="A692">
        <v>2691</v>
      </c>
      <c r="B692" s="4">
        <v>45508</v>
      </c>
      <c r="C692">
        <v>2024</v>
      </c>
      <c r="D692" t="s">
        <v>21</v>
      </c>
      <c r="E692" t="s">
        <v>33</v>
      </c>
      <c r="F692" t="s">
        <v>58</v>
      </c>
      <c r="G692" t="s">
        <v>68</v>
      </c>
      <c r="H692">
        <v>11</v>
      </c>
      <c r="I692">
        <v>75.010000000000005</v>
      </c>
      <c r="J692">
        <v>825.11</v>
      </c>
      <c r="K692">
        <v>53.11</v>
      </c>
      <c r="L692">
        <v>240.9</v>
      </c>
      <c r="M692" t="s">
        <v>76</v>
      </c>
      <c r="N692" t="s">
        <v>79</v>
      </c>
    </row>
    <row r="693" spans="1:14" x14ac:dyDescent="0.3">
      <c r="A693">
        <v>2692</v>
      </c>
      <c r="B693" s="4">
        <v>44687</v>
      </c>
      <c r="C693">
        <v>2022</v>
      </c>
      <c r="D693" t="s">
        <v>22</v>
      </c>
      <c r="E693" t="s">
        <v>36</v>
      </c>
      <c r="F693" t="s">
        <v>56</v>
      </c>
      <c r="G693" t="s">
        <v>70</v>
      </c>
      <c r="H693">
        <v>11</v>
      </c>
      <c r="I693">
        <v>95.55</v>
      </c>
      <c r="J693">
        <v>1051.05</v>
      </c>
      <c r="K693">
        <v>80.98</v>
      </c>
      <c r="L693">
        <v>160.27000000000001</v>
      </c>
      <c r="M693" t="s">
        <v>75</v>
      </c>
      <c r="N693" t="s">
        <v>78</v>
      </c>
    </row>
    <row r="694" spans="1:14" x14ac:dyDescent="0.3">
      <c r="A694">
        <v>2693</v>
      </c>
      <c r="B694" s="4">
        <v>45086</v>
      </c>
      <c r="C694">
        <v>2023</v>
      </c>
      <c r="D694" t="s">
        <v>19</v>
      </c>
      <c r="E694" t="s">
        <v>31</v>
      </c>
      <c r="F694" t="s">
        <v>46</v>
      </c>
      <c r="G694" t="s">
        <v>70</v>
      </c>
      <c r="H694">
        <v>18</v>
      </c>
      <c r="I694">
        <v>53.29</v>
      </c>
      <c r="J694">
        <v>959.22</v>
      </c>
      <c r="K694">
        <v>46.65</v>
      </c>
      <c r="L694">
        <v>119.52</v>
      </c>
      <c r="M694" t="s">
        <v>76</v>
      </c>
      <c r="N694" t="s">
        <v>79</v>
      </c>
    </row>
    <row r="695" spans="1:14" x14ac:dyDescent="0.3">
      <c r="A695">
        <v>2694</v>
      </c>
      <c r="B695" s="4">
        <v>44756</v>
      </c>
      <c r="C695">
        <v>2022</v>
      </c>
      <c r="D695" t="s">
        <v>22</v>
      </c>
      <c r="E695" t="s">
        <v>36</v>
      </c>
      <c r="F695" t="s">
        <v>56</v>
      </c>
      <c r="G695" t="s">
        <v>70</v>
      </c>
      <c r="H695">
        <v>7</v>
      </c>
      <c r="I695">
        <v>33.44</v>
      </c>
      <c r="J695">
        <v>234.08</v>
      </c>
      <c r="K695">
        <v>23.87</v>
      </c>
      <c r="L695">
        <v>66.989999999999995</v>
      </c>
      <c r="M695" t="s">
        <v>75</v>
      </c>
      <c r="N695" t="s">
        <v>78</v>
      </c>
    </row>
    <row r="696" spans="1:14" x14ac:dyDescent="0.3">
      <c r="A696">
        <v>2695</v>
      </c>
      <c r="B696" s="4">
        <v>44922</v>
      </c>
      <c r="C696">
        <v>2022</v>
      </c>
      <c r="D696" t="s">
        <v>21</v>
      </c>
      <c r="E696" t="s">
        <v>33</v>
      </c>
      <c r="F696" t="s">
        <v>49</v>
      </c>
      <c r="G696" t="s">
        <v>72</v>
      </c>
      <c r="H696">
        <v>13</v>
      </c>
      <c r="I696">
        <v>191.58</v>
      </c>
      <c r="J696">
        <v>2490.54</v>
      </c>
      <c r="K696">
        <v>165.98</v>
      </c>
      <c r="L696">
        <v>332.8</v>
      </c>
      <c r="M696" t="s">
        <v>74</v>
      </c>
      <c r="N696" t="s">
        <v>78</v>
      </c>
    </row>
    <row r="697" spans="1:14" x14ac:dyDescent="0.3">
      <c r="A697">
        <v>2696</v>
      </c>
      <c r="B697" s="4">
        <v>45309</v>
      </c>
      <c r="C697">
        <v>2024</v>
      </c>
      <c r="D697" t="s">
        <v>22</v>
      </c>
      <c r="E697" t="s">
        <v>38</v>
      </c>
      <c r="F697" t="s">
        <v>45</v>
      </c>
      <c r="G697" t="s">
        <v>69</v>
      </c>
      <c r="H697">
        <v>12</v>
      </c>
      <c r="I697">
        <v>88.88</v>
      </c>
      <c r="J697">
        <v>1066.56</v>
      </c>
      <c r="K697">
        <v>64.28</v>
      </c>
      <c r="L697">
        <v>295.2</v>
      </c>
      <c r="M697" t="s">
        <v>76</v>
      </c>
      <c r="N697" t="s">
        <v>80</v>
      </c>
    </row>
    <row r="698" spans="1:14" x14ac:dyDescent="0.3">
      <c r="A698">
        <v>2697</v>
      </c>
      <c r="B698" s="4">
        <v>45297</v>
      </c>
      <c r="C698">
        <v>2024</v>
      </c>
      <c r="D698" t="s">
        <v>14</v>
      </c>
      <c r="E698" t="s">
        <v>30</v>
      </c>
      <c r="F698" t="s">
        <v>45</v>
      </c>
      <c r="G698" t="s">
        <v>69</v>
      </c>
      <c r="H698">
        <v>7</v>
      </c>
      <c r="I698">
        <v>181.39</v>
      </c>
      <c r="J698">
        <v>1269.73</v>
      </c>
      <c r="K698">
        <v>110.16</v>
      </c>
      <c r="L698">
        <v>498.61</v>
      </c>
      <c r="M698" t="s">
        <v>76</v>
      </c>
      <c r="N698" t="s">
        <v>78</v>
      </c>
    </row>
    <row r="699" spans="1:14" x14ac:dyDescent="0.3">
      <c r="A699">
        <v>2698</v>
      </c>
      <c r="B699" s="4">
        <v>44630</v>
      </c>
      <c r="C699">
        <v>2022</v>
      </c>
      <c r="D699" t="s">
        <v>16</v>
      </c>
      <c r="E699" t="s">
        <v>35</v>
      </c>
      <c r="F699" t="s">
        <v>60</v>
      </c>
      <c r="G699" t="s">
        <v>73</v>
      </c>
      <c r="H699">
        <v>6</v>
      </c>
      <c r="I699">
        <v>74.900000000000006</v>
      </c>
      <c r="J699">
        <v>449.4</v>
      </c>
      <c r="K699">
        <v>46.24</v>
      </c>
      <c r="L699">
        <v>171.96</v>
      </c>
      <c r="M699" t="s">
        <v>74</v>
      </c>
      <c r="N699" t="s">
        <v>80</v>
      </c>
    </row>
    <row r="700" spans="1:14" x14ac:dyDescent="0.3">
      <c r="A700">
        <v>2699</v>
      </c>
      <c r="B700" s="4">
        <v>45010</v>
      </c>
      <c r="C700">
        <v>2023</v>
      </c>
      <c r="D700" t="s">
        <v>14</v>
      </c>
      <c r="E700" t="s">
        <v>30</v>
      </c>
      <c r="F700" t="s">
        <v>44</v>
      </c>
      <c r="G700" t="s">
        <v>68</v>
      </c>
      <c r="H700">
        <v>18</v>
      </c>
      <c r="I700">
        <v>155.25</v>
      </c>
      <c r="J700">
        <v>2794.5</v>
      </c>
      <c r="K700">
        <v>112.42</v>
      </c>
      <c r="L700">
        <v>770.94</v>
      </c>
      <c r="M700" t="s">
        <v>75</v>
      </c>
      <c r="N700" t="s">
        <v>80</v>
      </c>
    </row>
    <row r="701" spans="1:14" x14ac:dyDescent="0.3">
      <c r="A701">
        <v>2700</v>
      </c>
      <c r="B701" s="4">
        <v>45478</v>
      </c>
      <c r="C701">
        <v>2024</v>
      </c>
      <c r="D701" t="s">
        <v>14</v>
      </c>
      <c r="E701" t="s">
        <v>24</v>
      </c>
      <c r="F701" t="s">
        <v>60</v>
      </c>
      <c r="G701" t="s">
        <v>73</v>
      </c>
      <c r="H701">
        <v>10</v>
      </c>
      <c r="I701">
        <v>41.55</v>
      </c>
      <c r="J701">
        <v>415.5</v>
      </c>
      <c r="K701">
        <v>29.33</v>
      </c>
      <c r="L701">
        <v>122.2</v>
      </c>
      <c r="M701" t="s">
        <v>74</v>
      </c>
      <c r="N701" t="s">
        <v>79</v>
      </c>
    </row>
    <row r="702" spans="1:14" x14ac:dyDescent="0.3">
      <c r="A702">
        <v>2701</v>
      </c>
      <c r="B702" s="4">
        <v>45066</v>
      </c>
      <c r="C702">
        <v>2023</v>
      </c>
      <c r="D702" t="s">
        <v>17</v>
      </c>
      <c r="E702" t="s">
        <v>27</v>
      </c>
      <c r="F702" t="s">
        <v>58</v>
      </c>
      <c r="G702" t="s">
        <v>68</v>
      </c>
      <c r="H702">
        <v>16</v>
      </c>
      <c r="I702">
        <v>60.15</v>
      </c>
      <c r="J702">
        <v>962.4</v>
      </c>
      <c r="K702">
        <v>45.23</v>
      </c>
      <c r="L702">
        <v>238.72</v>
      </c>
      <c r="M702" t="s">
        <v>76</v>
      </c>
      <c r="N702" t="s">
        <v>77</v>
      </c>
    </row>
    <row r="703" spans="1:14" x14ac:dyDescent="0.3">
      <c r="A703">
        <v>2702</v>
      </c>
      <c r="B703" s="4">
        <v>44631</v>
      </c>
      <c r="C703">
        <v>2022</v>
      </c>
      <c r="D703" t="s">
        <v>17</v>
      </c>
      <c r="E703" t="s">
        <v>27</v>
      </c>
      <c r="F703" t="s">
        <v>49</v>
      </c>
      <c r="G703" t="s">
        <v>72</v>
      </c>
      <c r="H703">
        <v>4</v>
      </c>
      <c r="I703">
        <v>128.15</v>
      </c>
      <c r="J703">
        <v>512.6</v>
      </c>
      <c r="K703">
        <v>87</v>
      </c>
      <c r="L703">
        <v>164.6</v>
      </c>
      <c r="M703" t="s">
        <v>76</v>
      </c>
      <c r="N703" t="s">
        <v>78</v>
      </c>
    </row>
    <row r="704" spans="1:14" x14ac:dyDescent="0.3">
      <c r="A704">
        <v>2703</v>
      </c>
      <c r="B704" s="4">
        <v>45004</v>
      </c>
      <c r="C704">
        <v>2023</v>
      </c>
      <c r="D704" t="s">
        <v>19</v>
      </c>
      <c r="E704" t="s">
        <v>42</v>
      </c>
      <c r="F704" t="s">
        <v>56</v>
      </c>
      <c r="G704" t="s">
        <v>70</v>
      </c>
      <c r="H704">
        <v>12</v>
      </c>
      <c r="I704">
        <v>189.97</v>
      </c>
      <c r="J704">
        <v>2279.64</v>
      </c>
      <c r="K704">
        <v>166.16</v>
      </c>
      <c r="L704">
        <v>285.72000000000003</v>
      </c>
      <c r="M704" t="s">
        <v>74</v>
      </c>
      <c r="N704" t="s">
        <v>80</v>
      </c>
    </row>
    <row r="705" spans="1:14" x14ac:dyDescent="0.3">
      <c r="A705">
        <v>2704</v>
      </c>
      <c r="B705" s="4">
        <v>44760</v>
      </c>
      <c r="C705">
        <v>2022</v>
      </c>
      <c r="D705" t="s">
        <v>16</v>
      </c>
      <c r="E705" t="s">
        <v>35</v>
      </c>
      <c r="F705" t="s">
        <v>58</v>
      </c>
      <c r="G705" t="s">
        <v>68</v>
      </c>
      <c r="H705">
        <v>18</v>
      </c>
      <c r="I705">
        <v>152.27000000000001</v>
      </c>
      <c r="J705">
        <v>2740.86</v>
      </c>
      <c r="K705">
        <v>129.97</v>
      </c>
      <c r="L705">
        <v>401.4</v>
      </c>
      <c r="M705" t="s">
        <v>76</v>
      </c>
      <c r="N705" t="s">
        <v>79</v>
      </c>
    </row>
    <row r="706" spans="1:14" x14ac:dyDescent="0.3">
      <c r="A706">
        <v>2705</v>
      </c>
      <c r="B706" s="4">
        <v>45546</v>
      </c>
      <c r="C706">
        <v>2024</v>
      </c>
      <c r="D706" t="s">
        <v>15</v>
      </c>
      <c r="E706" t="s">
        <v>25</v>
      </c>
      <c r="F706" t="s">
        <v>57</v>
      </c>
      <c r="G706" t="s">
        <v>73</v>
      </c>
      <c r="H706">
        <v>17</v>
      </c>
      <c r="I706">
        <v>194.76</v>
      </c>
      <c r="J706">
        <v>3310.92</v>
      </c>
      <c r="K706">
        <v>150.13</v>
      </c>
      <c r="L706">
        <v>758.71</v>
      </c>
      <c r="M706" t="s">
        <v>75</v>
      </c>
      <c r="N706" t="s">
        <v>77</v>
      </c>
    </row>
    <row r="707" spans="1:14" x14ac:dyDescent="0.3">
      <c r="A707">
        <v>2706</v>
      </c>
      <c r="B707" s="4">
        <v>45272</v>
      </c>
      <c r="C707">
        <v>2023</v>
      </c>
      <c r="D707" t="s">
        <v>23</v>
      </c>
      <c r="E707" t="s">
        <v>37</v>
      </c>
      <c r="F707" t="s">
        <v>44</v>
      </c>
      <c r="G707" t="s">
        <v>68</v>
      </c>
      <c r="H707">
        <v>8</v>
      </c>
      <c r="I707">
        <v>175.47</v>
      </c>
      <c r="J707">
        <v>1403.76</v>
      </c>
      <c r="K707">
        <v>133.91</v>
      </c>
      <c r="L707">
        <v>332.48</v>
      </c>
      <c r="M707" t="s">
        <v>75</v>
      </c>
      <c r="N707" t="s">
        <v>78</v>
      </c>
    </row>
    <row r="708" spans="1:14" x14ac:dyDescent="0.3">
      <c r="A708">
        <v>2707</v>
      </c>
      <c r="B708" s="4">
        <v>44721</v>
      </c>
      <c r="C708">
        <v>2022</v>
      </c>
      <c r="D708" t="s">
        <v>14</v>
      </c>
      <c r="E708" t="s">
        <v>24</v>
      </c>
      <c r="F708" t="s">
        <v>61</v>
      </c>
      <c r="G708" t="s">
        <v>68</v>
      </c>
      <c r="H708">
        <v>14</v>
      </c>
      <c r="I708">
        <v>147.35</v>
      </c>
      <c r="J708">
        <v>2062.9</v>
      </c>
      <c r="K708">
        <v>92.39</v>
      </c>
      <c r="L708">
        <v>769.44</v>
      </c>
      <c r="M708" t="s">
        <v>75</v>
      </c>
      <c r="N708" t="s">
        <v>78</v>
      </c>
    </row>
    <row r="709" spans="1:14" x14ac:dyDescent="0.3">
      <c r="A709">
        <v>2708</v>
      </c>
      <c r="B709" s="4">
        <v>45634</v>
      </c>
      <c r="C709">
        <v>2024</v>
      </c>
      <c r="D709" t="s">
        <v>23</v>
      </c>
      <c r="E709" t="s">
        <v>37</v>
      </c>
      <c r="F709" t="s">
        <v>64</v>
      </c>
      <c r="G709" t="s">
        <v>70</v>
      </c>
      <c r="H709">
        <v>19</v>
      </c>
      <c r="I709">
        <v>139.29</v>
      </c>
      <c r="J709">
        <v>2646.51</v>
      </c>
      <c r="K709">
        <v>120.03</v>
      </c>
      <c r="L709">
        <v>365.94</v>
      </c>
      <c r="M709" t="s">
        <v>75</v>
      </c>
      <c r="N709" t="s">
        <v>77</v>
      </c>
    </row>
    <row r="710" spans="1:14" x14ac:dyDescent="0.3">
      <c r="A710">
        <v>2709</v>
      </c>
      <c r="B710" s="4">
        <v>45546</v>
      </c>
      <c r="C710">
        <v>2024</v>
      </c>
      <c r="D710" t="s">
        <v>14</v>
      </c>
      <c r="E710" t="s">
        <v>30</v>
      </c>
      <c r="F710" t="s">
        <v>51</v>
      </c>
      <c r="G710" t="s">
        <v>69</v>
      </c>
      <c r="H710">
        <v>4</v>
      </c>
      <c r="I710">
        <v>57.99</v>
      </c>
      <c r="J710">
        <v>231.96</v>
      </c>
      <c r="K710">
        <v>49.02</v>
      </c>
      <c r="L710">
        <v>35.880000000000003</v>
      </c>
      <c r="M710" t="s">
        <v>76</v>
      </c>
      <c r="N710" t="s">
        <v>79</v>
      </c>
    </row>
    <row r="711" spans="1:14" x14ac:dyDescent="0.3">
      <c r="A711">
        <v>2710</v>
      </c>
      <c r="B711" s="4">
        <v>44583</v>
      </c>
      <c r="C711">
        <v>2022</v>
      </c>
      <c r="D711" t="s">
        <v>17</v>
      </c>
      <c r="E711" t="s">
        <v>34</v>
      </c>
      <c r="F711" t="s">
        <v>49</v>
      </c>
      <c r="G711" t="s">
        <v>72</v>
      </c>
      <c r="H711">
        <v>9</v>
      </c>
      <c r="I711">
        <v>196.12</v>
      </c>
      <c r="J711">
        <v>1765.08</v>
      </c>
      <c r="K711">
        <v>117.82</v>
      </c>
      <c r="L711">
        <v>704.7</v>
      </c>
      <c r="M711" t="s">
        <v>75</v>
      </c>
      <c r="N711" t="s">
        <v>79</v>
      </c>
    </row>
    <row r="712" spans="1:14" x14ac:dyDescent="0.3">
      <c r="A712">
        <v>2711</v>
      </c>
      <c r="B712" s="4">
        <v>45608</v>
      </c>
      <c r="C712">
        <v>2024</v>
      </c>
      <c r="D712" t="s">
        <v>21</v>
      </c>
      <c r="E712" t="s">
        <v>33</v>
      </c>
      <c r="F712" t="s">
        <v>56</v>
      </c>
      <c r="G712" t="s">
        <v>70</v>
      </c>
      <c r="H712">
        <v>18</v>
      </c>
      <c r="I712">
        <v>153.59</v>
      </c>
      <c r="J712">
        <v>2764.62</v>
      </c>
      <c r="K712">
        <v>127.38</v>
      </c>
      <c r="L712">
        <v>471.78</v>
      </c>
      <c r="M712" t="s">
        <v>74</v>
      </c>
      <c r="N712" t="s">
        <v>77</v>
      </c>
    </row>
    <row r="713" spans="1:14" x14ac:dyDescent="0.3">
      <c r="A713">
        <v>2712</v>
      </c>
      <c r="B713" s="4">
        <v>45360</v>
      </c>
      <c r="C713">
        <v>2024</v>
      </c>
      <c r="D713" t="s">
        <v>20</v>
      </c>
      <c r="E713" t="s">
        <v>40</v>
      </c>
      <c r="F713" t="s">
        <v>47</v>
      </c>
      <c r="G713" t="s">
        <v>71</v>
      </c>
      <c r="H713">
        <v>11</v>
      </c>
      <c r="I713">
        <v>152.54</v>
      </c>
      <c r="J713">
        <v>1677.94</v>
      </c>
      <c r="K713">
        <v>121.96</v>
      </c>
      <c r="L713">
        <v>336.38</v>
      </c>
      <c r="M713" t="s">
        <v>76</v>
      </c>
      <c r="N713" t="s">
        <v>77</v>
      </c>
    </row>
    <row r="714" spans="1:14" x14ac:dyDescent="0.3">
      <c r="A714">
        <v>2713</v>
      </c>
      <c r="B714" s="4">
        <v>44672</v>
      </c>
      <c r="C714">
        <v>2022</v>
      </c>
      <c r="D714" t="s">
        <v>23</v>
      </c>
      <c r="E714" t="s">
        <v>37</v>
      </c>
      <c r="F714" t="s">
        <v>48</v>
      </c>
      <c r="G714" t="s">
        <v>68</v>
      </c>
      <c r="H714">
        <v>2</v>
      </c>
      <c r="I714">
        <v>137.19999999999999</v>
      </c>
      <c r="J714">
        <v>274.39999999999998</v>
      </c>
      <c r="K714">
        <v>99.92</v>
      </c>
      <c r="L714">
        <v>74.56</v>
      </c>
      <c r="M714" t="s">
        <v>75</v>
      </c>
      <c r="N714" t="s">
        <v>80</v>
      </c>
    </row>
    <row r="715" spans="1:14" x14ac:dyDescent="0.3">
      <c r="A715">
        <v>2714</v>
      </c>
      <c r="B715" s="4">
        <v>45367</v>
      </c>
      <c r="C715">
        <v>2024</v>
      </c>
      <c r="D715" t="s">
        <v>16</v>
      </c>
      <c r="E715" t="s">
        <v>35</v>
      </c>
      <c r="F715" t="s">
        <v>45</v>
      </c>
      <c r="G715" t="s">
        <v>69</v>
      </c>
      <c r="H715">
        <v>15</v>
      </c>
      <c r="I715">
        <v>102.46</v>
      </c>
      <c r="J715">
        <v>1536.9</v>
      </c>
      <c r="K715">
        <v>69.599999999999994</v>
      </c>
      <c r="L715">
        <v>492.9</v>
      </c>
      <c r="M715" t="s">
        <v>75</v>
      </c>
      <c r="N715" t="s">
        <v>77</v>
      </c>
    </row>
    <row r="716" spans="1:14" x14ac:dyDescent="0.3">
      <c r="A716">
        <v>2715</v>
      </c>
      <c r="B716" s="4">
        <v>45179</v>
      </c>
      <c r="C716">
        <v>2023</v>
      </c>
      <c r="D716" t="s">
        <v>16</v>
      </c>
      <c r="E716" t="s">
        <v>35</v>
      </c>
      <c r="F716" t="s">
        <v>56</v>
      </c>
      <c r="G716" t="s">
        <v>70</v>
      </c>
      <c r="H716">
        <v>1</v>
      </c>
      <c r="I716">
        <v>126.85</v>
      </c>
      <c r="J716">
        <v>126.85</v>
      </c>
      <c r="K716">
        <v>103.88</v>
      </c>
      <c r="L716">
        <v>22.97</v>
      </c>
      <c r="M716" t="s">
        <v>76</v>
      </c>
      <c r="N716" t="s">
        <v>79</v>
      </c>
    </row>
    <row r="717" spans="1:14" x14ac:dyDescent="0.3">
      <c r="A717">
        <v>2716</v>
      </c>
      <c r="B717" s="4">
        <v>45317</v>
      </c>
      <c r="C717">
        <v>2024</v>
      </c>
      <c r="D717" t="s">
        <v>14</v>
      </c>
      <c r="E717" t="s">
        <v>24</v>
      </c>
      <c r="F717" t="s">
        <v>48</v>
      </c>
      <c r="G717" t="s">
        <v>68</v>
      </c>
      <c r="H717">
        <v>13</v>
      </c>
      <c r="I717">
        <v>41.41</v>
      </c>
      <c r="J717">
        <v>538.33000000000004</v>
      </c>
      <c r="K717">
        <v>36.29</v>
      </c>
      <c r="L717">
        <v>66.56</v>
      </c>
      <c r="M717" t="s">
        <v>75</v>
      </c>
      <c r="N717" t="s">
        <v>78</v>
      </c>
    </row>
    <row r="718" spans="1:14" x14ac:dyDescent="0.3">
      <c r="A718">
        <v>2717</v>
      </c>
      <c r="B718" s="4">
        <v>45557</v>
      </c>
      <c r="C718">
        <v>2024</v>
      </c>
      <c r="D718" t="s">
        <v>14</v>
      </c>
      <c r="E718" t="s">
        <v>30</v>
      </c>
      <c r="F718" t="s">
        <v>57</v>
      </c>
      <c r="G718" t="s">
        <v>73</v>
      </c>
      <c r="H718">
        <v>2</v>
      </c>
      <c r="I718">
        <v>45.8</v>
      </c>
      <c r="J718">
        <v>91.6</v>
      </c>
      <c r="K718">
        <v>36.49</v>
      </c>
      <c r="L718">
        <v>18.62</v>
      </c>
      <c r="M718" t="s">
        <v>74</v>
      </c>
      <c r="N718" t="s">
        <v>78</v>
      </c>
    </row>
    <row r="719" spans="1:14" x14ac:dyDescent="0.3">
      <c r="A719">
        <v>2718</v>
      </c>
      <c r="B719" s="4">
        <v>45622</v>
      </c>
      <c r="C719">
        <v>2024</v>
      </c>
      <c r="D719" t="s">
        <v>15</v>
      </c>
      <c r="E719" t="s">
        <v>25</v>
      </c>
      <c r="F719" t="s">
        <v>46</v>
      </c>
      <c r="G719" t="s">
        <v>70</v>
      </c>
      <c r="H719">
        <v>11</v>
      </c>
      <c r="I719">
        <v>191.25</v>
      </c>
      <c r="J719">
        <v>2103.75</v>
      </c>
      <c r="K719">
        <v>133.47</v>
      </c>
      <c r="L719">
        <v>635.58000000000004</v>
      </c>
      <c r="M719" t="s">
        <v>76</v>
      </c>
      <c r="N719" t="s">
        <v>78</v>
      </c>
    </row>
    <row r="720" spans="1:14" x14ac:dyDescent="0.3">
      <c r="A720">
        <v>2719</v>
      </c>
      <c r="B720" s="4">
        <v>44714</v>
      </c>
      <c r="C720">
        <v>2022</v>
      </c>
      <c r="D720" t="s">
        <v>22</v>
      </c>
      <c r="E720" t="s">
        <v>36</v>
      </c>
      <c r="F720" t="s">
        <v>66</v>
      </c>
      <c r="G720" t="s">
        <v>72</v>
      </c>
      <c r="H720">
        <v>6</v>
      </c>
      <c r="I720">
        <v>167.6</v>
      </c>
      <c r="J720">
        <v>1005.6</v>
      </c>
      <c r="K720">
        <v>110.97</v>
      </c>
      <c r="L720">
        <v>339.78</v>
      </c>
      <c r="M720" t="s">
        <v>75</v>
      </c>
      <c r="N720" t="s">
        <v>77</v>
      </c>
    </row>
    <row r="721" spans="1:14" x14ac:dyDescent="0.3">
      <c r="A721">
        <v>2720</v>
      </c>
      <c r="B721" s="4">
        <v>44566</v>
      </c>
      <c r="C721">
        <v>2022</v>
      </c>
      <c r="D721" t="s">
        <v>17</v>
      </c>
      <c r="E721" t="s">
        <v>34</v>
      </c>
      <c r="F721" t="s">
        <v>51</v>
      </c>
      <c r="G721" t="s">
        <v>69</v>
      </c>
      <c r="H721">
        <v>7</v>
      </c>
      <c r="I721">
        <v>92.22</v>
      </c>
      <c r="J721">
        <v>645.54</v>
      </c>
      <c r="K721">
        <v>75.67</v>
      </c>
      <c r="L721">
        <v>115.85</v>
      </c>
      <c r="M721" t="s">
        <v>75</v>
      </c>
      <c r="N721" t="s">
        <v>78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EE0D7-4621-4802-8A42-FE5B5E2D36CE}">
  <dimension ref="A2:R67"/>
  <sheetViews>
    <sheetView topLeftCell="A45" zoomScale="70" workbookViewId="0">
      <selection activeCell="C64" sqref="C64"/>
    </sheetView>
  </sheetViews>
  <sheetFormatPr defaultRowHeight="14.4" x14ac:dyDescent="0.3"/>
  <cols>
    <col min="1" max="1" width="18.21875" bestFit="1" customWidth="1"/>
    <col min="2" max="2" width="16.77734375" bestFit="1" customWidth="1"/>
    <col min="3" max="3" width="12.44140625" bestFit="1" customWidth="1"/>
    <col min="4" max="4" width="9.33203125" bestFit="1" customWidth="1"/>
    <col min="5" max="5" width="8.21875" bestFit="1" customWidth="1"/>
    <col min="6" max="7" width="9.33203125" bestFit="1" customWidth="1"/>
    <col min="8" max="8" width="9.77734375" bestFit="1" customWidth="1"/>
    <col min="9" max="12" width="9.33203125" bestFit="1" customWidth="1"/>
    <col min="13" max="13" width="17" bestFit="1" customWidth="1"/>
    <col min="14" max="14" width="16.6640625" bestFit="1" customWidth="1"/>
    <col min="15" max="16" width="9.33203125" bestFit="1" customWidth="1"/>
    <col min="17" max="17" width="13.88671875" bestFit="1" customWidth="1"/>
    <col min="18" max="18" width="16.77734375" bestFit="1" customWidth="1"/>
    <col min="19" max="19" width="9.33203125" bestFit="1" customWidth="1"/>
    <col min="20" max="20" width="9.77734375" bestFit="1" customWidth="1"/>
    <col min="21" max="31" width="9.33203125" bestFit="1" customWidth="1"/>
    <col min="32" max="32" width="8.21875" bestFit="1" customWidth="1"/>
    <col min="33" max="36" width="9.33203125" bestFit="1" customWidth="1"/>
    <col min="37" max="37" width="11.77734375" bestFit="1" customWidth="1"/>
    <col min="38" max="38" width="11.33203125" bestFit="1" customWidth="1"/>
  </cols>
  <sheetData>
    <row r="2" spans="1:2" x14ac:dyDescent="0.3">
      <c r="A2" s="2" t="s">
        <v>81</v>
      </c>
      <c r="B2" t="s">
        <v>83</v>
      </c>
    </row>
    <row r="3" spans="1:2" x14ac:dyDescent="0.3">
      <c r="A3" s="3" t="s">
        <v>18</v>
      </c>
      <c r="B3">
        <v>23824.579999999998</v>
      </c>
    </row>
    <row r="4" spans="1:2" x14ac:dyDescent="0.3">
      <c r="A4" s="3" t="s">
        <v>17</v>
      </c>
      <c r="B4">
        <v>20173.580000000002</v>
      </c>
    </row>
    <row r="5" spans="1:2" x14ac:dyDescent="0.3">
      <c r="A5" s="3" t="s">
        <v>20</v>
      </c>
      <c r="B5">
        <v>21461.649999999998</v>
      </c>
    </row>
    <row r="6" spans="1:2" x14ac:dyDescent="0.3">
      <c r="A6" s="3" t="s">
        <v>19</v>
      </c>
      <c r="B6">
        <v>19797.420000000002</v>
      </c>
    </row>
    <row r="7" spans="1:2" x14ac:dyDescent="0.3">
      <c r="A7" s="3" t="s">
        <v>21</v>
      </c>
      <c r="B7">
        <v>23427.16</v>
      </c>
    </row>
    <row r="8" spans="1:2" x14ac:dyDescent="0.3">
      <c r="A8" s="3" t="s">
        <v>23</v>
      </c>
      <c r="B8">
        <v>7653.380000000001</v>
      </c>
    </row>
    <row r="9" spans="1:2" x14ac:dyDescent="0.3">
      <c r="A9" s="3" t="s">
        <v>14</v>
      </c>
      <c r="B9">
        <v>11702.539999999999</v>
      </c>
    </row>
    <row r="10" spans="1:2" x14ac:dyDescent="0.3">
      <c r="A10" s="3" t="s">
        <v>15</v>
      </c>
      <c r="B10">
        <v>12715.98</v>
      </c>
    </row>
    <row r="11" spans="1:2" x14ac:dyDescent="0.3">
      <c r="A11" s="3" t="s">
        <v>16</v>
      </c>
      <c r="B11">
        <v>5363.13</v>
      </c>
    </row>
    <row r="12" spans="1:2" x14ac:dyDescent="0.3">
      <c r="A12" s="3" t="s">
        <v>22</v>
      </c>
      <c r="B12">
        <v>23034.100000000002</v>
      </c>
    </row>
    <row r="13" spans="1:2" x14ac:dyDescent="0.3">
      <c r="A13" s="3" t="s">
        <v>82</v>
      </c>
      <c r="B13">
        <v>169153.52000000002</v>
      </c>
    </row>
    <row r="30" spans="1:2" x14ac:dyDescent="0.3">
      <c r="A30" s="2" t="s">
        <v>81</v>
      </c>
      <c r="B30" t="s">
        <v>83</v>
      </c>
    </row>
    <row r="31" spans="1:2" x14ac:dyDescent="0.3">
      <c r="A31" s="3" t="s">
        <v>87</v>
      </c>
      <c r="B31">
        <v>10891.38</v>
      </c>
    </row>
    <row r="32" spans="1:2" x14ac:dyDescent="0.3">
      <c r="A32" s="3" t="s">
        <v>88</v>
      </c>
      <c r="B32">
        <v>15255.239999999998</v>
      </c>
    </row>
    <row r="33" spans="1:18" x14ac:dyDescent="0.3">
      <c r="A33" s="3" t="s">
        <v>89</v>
      </c>
      <c r="B33">
        <v>6380.78</v>
      </c>
    </row>
    <row r="34" spans="1:18" x14ac:dyDescent="0.3">
      <c r="A34" s="3" t="s">
        <v>90</v>
      </c>
      <c r="B34">
        <v>12714.399999999998</v>
      </c>
    </row>
    <row r="35" spans="1:18" x14ac:dyDescent="0.3">
      <c r="A35" s="3" t="s">
        <v>86</v>
      </c>
      <c r="B35">
        <v>16847.34</v>
      </c>
    </row>
    <row r="36" spans="1:18" x14ac:dyDescent="0.3">
      <c r="A36" s="3" t="s">
        <v>91</v>
      </c>
      <c r="B36">
        <v>22853.140000000003</v>
      </c>
    </row>
    <row r="37" spans="1:18" x14ac:dyDescent="0.3">
      <c r="A37" s="3" t="s">
        <v>92</v>
      </c>
      <c r="B37">
        <v>6046.41</v>
      </c>
      <c r="Q37" s="2" t="s">
        <v>81</v>
      </c>
      <c r="R37" t="s">
        <v>83</v>
      </c>
    </row>
    <row r="38" spans="1:18" x14ac:dyDescent="0.3">
      <c r="A38" s="3" t="s">
        <v>93</v>
      </c>
      <c r="B38">
        <v>23221.070000000007</v>
      </c>
      <c r="Q38" s="3" t="s">
        <v>72</v>
      </c>
      <c r="R38">
        <v>29695.130000000008</v>
      </c>
    </row>
    <row r="39" spans="1:18" x14ac:dyDescent="0.3">
      <c r="A39" s="3" t="s">
        <v>94</v>
      </c>
      <c r="B39">
        <v>13539.790000000003</v>
      </c>
      <c r="Q39" s="3" t="s">
        <v>70</v>
      </c>
      <c r="R39">
        <v>34495.780000000006</v>
      </c>
    </row>
    <row r="40" spans="1:18" x14ac:dyDescent="0.3">
      <c r="A40" s="3" t="s">
        <v>95</v>
      </c>
      <c r="B40">
        <v>17947.32</v>
      </c>
      <c r="Q40" s="3" t="s">
        <v>71</v>
      </c>
      <c r="R40">
        <v>66642.460000000021</v>
      </c>
    </row>
    <row r="41" spans="1:18" x14ac:dyDescent="0.3">
      <c r="A41" s="3" t="s">
        <v>96</v>
      </c>
      <c r="B41">
        <v>14334.56</v>
      </c>
      <c r="Q41" s="3" t="s">
        <v>68</v>
      </c>
      <c r="R41">
        <v>38320.15</v>
      </c>
    </row>
    <row r="42" spans="1:18" x14ac:dyDescent="0.3">
      <c r="A42" s="3" t="s">
        <v>97</v>
      </c>
      <c r="B42">
        <v>9122.09</v>
      </c>
      <c r="Q42" s="3" t="s">
        <v>82</v>
      </c>
      <c r="R42">
        <v>169153.52000000005</v>
      </c>
    </row>
    <row r="43" spans="1:18" x14ac:dyDescent="0.3">
      <c r="A43" s="3" t="s">
        <v>82</v>
      </c>
      <c r="B43">
        <v>169153.52</v>
      </c>
    </row>
    <row r="46" spans="1:18" x14ac:dyDescent="0.3">
      <c r="A46" s="2" t="s">
        <v>81</v>
      </c>
      <c r="B46" t="s">
        <v>83</v>
      </c>
      <c r="C46" t="s">
        <v>84</v>
      </c>
    </row>
    <row r="47" spans="1:18" x14ac:dyDescent="0.3">
      <c r="A47" s="3" t="s">
        <v>67</v>
      </c>
      <c r="B47">
        <v>22700.959999999999</v>
      </c>
      <c r="C47">
        <v>5852.0500000000011</v>
      </c>
    </row>
    <row r="48" spans="1:18" x14ac:dyDescent="0.3">
      <c r="A48" s="3" t="s">
        <v>52</v>
      </c>
      <c r="B48">
        <v>43941.5</v>
      </c>
      <c r="C48">
        <v>10620.970000000001</v>
      </c>
    </row>
    <row r="49" spans="1:3" x14ac:dyDescent="0.3">
      <c r="A49" s="3" t="s">
        <v>66</v>
      </c>
      <c r="B49">
        <v>29695.130000000008</v>
      </c>
      <c r="C49">
        <v>6682.75</v>
      </c>
    </row>
    <row r="50" spans="1:3" x14ac:dyDescent="0.3">
      <c r="A50" s="3" t="s">
        <v>61</v>
      </c>
      <c r="B50">
        <v>38320.15</v>
      </c>
      <c r="C50">
        <v>9319.1</v>
      </c>
    </row>
    <row r="51" spans="1:3" x14ac:dyDescent="0.3">
      <c r="A51" s="3" t="s">
        <v>63</v>
      </c>
      <c r="B51">
        <v>34495.780000000006</v>
      </c>
      <c r="C51">
        <v>8020.760000000002</v>
      </c>
    </row>
    <row r="52" spans="1:3" x14ac:dyDescent="0.3">
      <c r="A52" s="3" t="s">
        <v>82</v>
      </c>
      <c r="B52">
        <v>169153.52</v>
      </c>
      <c r="C52">
        <v>40495.630000000005</v>
      </c>
    </row>
    <row r="63" spans="1:3" x14ac:dyDescent="0.3">
      <c r="A63" t="s">
        <v>83</v>
      </c>
    </row>
    <row r="64" spans="1:3" ht="21" x14ac:dyDescent="0.4">
      <c r="A64">
        <v>169153.5199999999</v>
      </c>
      <c r="C64" s="5">
        <f>GETPIVOTDATA("Total Sales",$A$63)</f>
        <v>169153.5199999999</v>
      </c>
    </row>
    <row r="66" spans="1:3" x14ac:dyDescent="0.3">
      <c r="A66" t="s">
        <v>85</v>
      </c>
    </row>
    <row r="67" spans="1:3" x14ac:dyDescent="0.3">
      <c r="A67">
        <v>148</v>
      </c>
      <c r="C67">
        <f>GETPIVOTDATA("Total Sales",$A$66)</f>
        <v>148</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112D-98A5-474D-A95F-FF3F92EAC41E}">
  <dimension ref="A1:D23"/>
  <sheetViews>
    <sheetView tabSelected="1" zoomScale="45" zoomScaleNormal="61" workbookViewId="0">
      <selection activeCell="D23" sqref="D23"/>
    </sheetView>
  </sheetViews>
  <sheetFormatPr defaultRowHeight="14.4" x14ac:dyDescent="0.3"/>
  <sheetData>
    <row r="1" spans="1:1" x14ac:dyDescent="0.3">
      <c r="A1" t="e" vm="1">
        <v>#VALUE!</v>
      </c>
    </row>
    <row r="22" spans="3:4" x14ac:dyDescent="0.3">
      <c r="C22" t="e" vm="2">
        <v>#VALUE!</v>
      </c>
    </row>
    <row r="23" spans="3:4" x14ac:dyDescent="0.3">
      <c r="D23" t="e" vm="3">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Daivala Raghu</dc:creator>
  <cp:lastModifiedBy>Daivala Raghu</cp:lastModifiedBy>
  <dcterms:created xsi:type="dcterms:W3CDTF">2025-04-21T18:39:30Z</dcterms:created>
  <dcterms:modified xsi:type="dcterms:W3CDTF">2025-11-24T16:55:15Z</dcterms:modified>
</cp:coreProperties>
</file>